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Cover" sheetId="1" state="visible" r:id="rId3"/>
    <sheet name="01_Parameters_Schematic" sheetId="2" state="visible" r:id="rId4"/>
    <sheet name="02_Typical_I_Values" sheetId="3" state="visible" r:id="rId5"/>
    <sheet name="03_Time_to_Breach" sheetId="4" state="visible" r:id="rId6"/>
    <sheet name="04_Sensitivity" sheetId="5" state="visible" r:id="rId7"/>
    <sheet name="05_Link_to_Breach_Tool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<sst xmlns="http://schemas.openxmlformats.org/spreadsheetml/2006/main" count="202" uniqueCount="171">
  <si>
    <t xml:space="preserve">EROSION RATE INDEX – TIME-TO-BREACH TOOL</t>
  </si>
  <si>
    <t xml:space="preserve">Pipe Enlargement Time via Wan &amp; Fell (2004) Erosion Rate Index and Bonelli-type closed-form solutions</t>
  </si>
  <si>
    <t xml:space="preserve">Version 1.0  |  Metric Units  |  Transparent equation-based implementation (not a port of proprietary toolboxes)</t>
  </si>
  <si>
    <t xml:space="preserve">PURPOSE &amp; SCOPE</t>
  </si>
  <si>
    <t xml:space="preserve">This workbook estimates the time required for a concentrated leak (pipe or crack) to enlarge from a detected / initial radius to a size at which roof collapse or gross enlargement leads to breach. It sits logically UPSTREAM of empirical breach-parameter methods (BFF / Tech Note 1 / Froehlich). Once a credible time-to-breach (or time-to-gross-enlargement) is obtained, that value can be used as T.Fail or t in the Dam Breach Computational Tool (or any other hydrograph generator).
The calculation is intentionally transparent: every equation is shown, every assumption is stated, and typical ranges of the Erosion Rate Index are tabulated from published sources.</t>
  </si>
  <si>
    <t xml:space="preserve">PRIMARY CITATIONS</t>
  </si>
  <si>
    <t xml:space="preserve">1. Wan, C.F. &amp; Fell, R. (2004). Laboratory Tests on the Rate of Piping Erosion of Soils in Embankment Dams. Geotechnical Testing Journal, 27(3), 295–303. (Defines the Erosion Rate Index I and Hole/Slot Erosion Tests.)</t>
  </si>
  <si>
    <t xml:space="preserve">2. Wan, C.F. &amp; Fell, R. (2004). Investigation of Rate of Erosion of Soils in Embankment Dams. J. Geotech. Geoenviron. Eng., 130(4), 373–380.</t>
  </si>
  <si>
    <t xml:space="preserve">3. Bonelli, S. et al. (various). Closed-form solutions for the evolution of a cylindrical pipe under constant head; characteristic time ter and remaining time Δtu ≈ ter · ln(Ru/Rd).</t>
  </si>
  <si>
    <t xml:space="preserve">4. Fell, R., Foster, M., et al. – USACE/USBR Unified Method for Internal Erosion (guidance documents and RMC Internal Erosion Suite).</t>
  </si>
  <si>
    <t xml:space="preserve">5. ICOLD Bulletin 164 (and related) – representative values of erosion rate index by soil type; graphical time-to-enlargement charts.</t>
  </si>
  <si>
    <t xml:space="preserve">6. USACE RMC Internal Erosion Suite (Breach Toolbox – gross enlargement worksheet) – practical implementation of excess-shear-stress pipe enlargement.</t>
  </si>
  <si>
    <t xml:space="preserve">COLOUR CODING</t>
  </si>
  <si>
    <t xml:space="preserve">Yellow + blue text</t>
  </si>
  <si>
    <t xml:space="preserve">User input</t>
  </si>
  <si>
    <t xml:space="preserve">Light green + black text</t>
  </si>
  <si>
    <t xml:space="preserve">Calculated result</t>
  </si>
  <si>
    <t xml:space="preserve">Orange panel</t>
  </si>
  <si>
    <t xml:space="preserve">Limitations / applicability</t>
  </si>
  <si>
    <t xml:space="preserve">Light blue section</t>
  </si>
  <si>
    <t xml:space="preserve">Section header</t>
  </si>
  <si>
    <t xml:space="preserve">IMPORTANT DISCLAIMER</t>
  </si>
  <si>
    <t xml:space="preserve">This is an engineering calculation aid for Professional Engineers. It implements published equations for educational and screening purposes. Real dam-safety assessments of internal erosion require site-specific soil testing (HET/JET), filter evaluation, full event-tree treatment, and engineering judgement. The simplified closed-form solutions assume constant head, cylindrical pipe, and constant Ce; they do not replace the more comprehensive RMC Internal Erosion Suite or a full numerical model. The user retains full professional responsibility for application to any real structure.</t>
  </si>
  <si>
    <t xml:space="preserve">PARAMETER DEFINITIONS, UNITS, TYPICAL RANGES &amp; SCHEMATIC</t>
  </si>
  <si>
    <t xml:space="preserve">A. SOIL EROSION PARAMETERS</t>
  </si>
  <si>
    <t xml:space="preserve">Symbol</t>
  </si>
  <si>
    <t xml:space="preserve">Unit</t>
  </si>
  <si>
    <t xml:space="preserve">Typical Range</t>
  </si>
  <si>
    <t xml:space="preserve">Definition / Physical Meaning</t>
  </si>
  <si>
    <t xml:space="preserve">Source / Note</t>
  </si>
  <si>
    <t xml:space="preserve">I</t>
  </si>
  <si>
    <t xml:space="preserve">—</t>
  </si>
  <si>
    <t xml:space="preserve">0 – 6</t>
  </si>
  <si>
    <t xml:space="preserve">Erosion Rate Index = –log10(Ce). Higher I = more erosion-resistant soil. Defined by Wan &amp; Fell from HET/SET.</t>
  </si>
  <si>
    <t xml:space="preserve">Wan &amp; Fell 2004</t>
  </si>
  <si>
    <t xml:space="preserve">Ce</t>
  </si>
  <si>
    <t xml:space="preserve">s/m  (or m²/s per Pa)</t>
  </si>
  <si>
    <t xml:space="preserve">10⁻⁶ – 10⁻¹</t>
  </si>
  <si>
    <t xml:space="preserve">Coefficient of soil erosion. Volume (or mass) erosion rate per unit area per unit excess shear stress.</t>
  </si>
  <si>
    <t xml:space="preserve">Ce = 10^(–I)</t>
  </si>
  <si>
    <t xml:space="preserve">τc  (tau_c)</t>
  </si>
  <si>
    <t xml:space="preserve">Pa</t>
  </si>
  <si>
    <t xml:space="preserve">0 – ~100+</t>
  </si>
  <si>
    <t xml:space="preserve">Critical hydraulic shear stress below which erosion does not occur (or is negligible).</t>
  </si>
  <si>
    <t xml:space="preserve">From HET / JET</t>
  </si>
  <si>
    <t xml:space="preserve">ρd</t>
  </si>
  <si>
    <t xml:space="preserve">kg/m³</t>
  </si>
  <si>
    <t xml:space="preserve">1400 – 2000</t>
  </si>
  <si>
    <t xml:space="preserve">Dry bulk density of the eroding soil.</t>
  </si>
  <si>
    <t xml:space="preserve">Typical compacted fill</t>
  </si>
  <si>
    <t xml:space="preserve">I (soil class)</t>
  </si>
  <si>
    <t xml:space="preserve">see table</t>
  </si>
  <si>
    <t xml:space="preserve">Representative values by USCS / soil description (ICOLD / Wan &amp; Fell tables).</t>
  </si>
  <si>
    <t xml:space="preserve">Screening only</t>
  </si>
  <si>
    <t xml:space="preserve">B. GEOMETRIC &amp; HYDRAULIC PARAMETERS OF THE PIPE</t>
  </si>
  <si>
    <t xml:space="preserve">L</t>
  </si>
  <si>
    <t xml:space="preserve">m</t>
  </si>
  <si>
    <t xml:space="preserve">core thickness</t>
  </si>
  <si>
    <t xml:space="preserve">Length of the pipe / seepage path through the core (or along the concentrated leak).</t>
  </si>
  <si>
    <t xml:space="preserve">Usually ≈ core width</t>
  </si>
  <si>
    <t xml:space="preserve">Δp  or  Δh</t>
  </si>
  <si>
    <t xml:space="preserve">Pa  or  m</t>
  </si>
  <si>
    <t xml:space="preserve">ρg·H</t>
  </si>
  <si>
    <t xml:space="preserve">Pressure (or head) drop driving flow through the pipe. For constant reservoir level Δp = ρw·g·H.</t>
  </si>
  <si>
    <t xml:space="preserve">H = reservoir head on core</t>
  </si>
  <si>
    <t xml:space="preserve">Rd</t>
  </si>
  <si>
    <t xml:space="preserve">0.01 – 0.25</t>
  </si>
  <si>
    <t xml:space="preserve">Pipe radius at detection (or assumed initial radius when progression begins).</t>
  </si>
  <si>
    <t xml:space="preserve">Eyewitness / assumption</t>
  </si>
  <si>
    <t xml:space="preserve">Ru</t>
  </si>
  <si>
    <t xml:space="preserve">~ Hb/3 – Hb/2</t>
  </si>
  <si>
    <t xml:space="preserve">Ultimate / collapse radius at which roof collapses or gross enlargement is deemed to have occurred.</t>
  </si>
  <si>
    <t xml:space="preserve">Often Hb/3</t>
  </si>
  <si>
    <t xml:space="preserve">Hb</t>
  </si>
  <si>
    <t xml:space="preserve">dam height</t>
  </si>
  <si>
    <t xml:space="preserve">Relevant embankment / core height used to set Ru.</t>
  </si>
  <si>
    <t xml:space="preserve">From dam geometry</t>
  </si>
  <si>
    <t xml:space="preserve">τb</t>
  </si>
  <si>
    <t xml:space="preserve">calculated</t>
  </si>
  <si>
    <t xml:space="preserve">Boundary shear stress exerted by the flow on the pipe wall.</t>
  </si>
  <si>
    <t xml:space="preserve">τ = f(Δp, R, L) or simplified</t>
  </si>
  <si>
    <t xml:space="preserve">C. SCHEMATIC – PIPE ENLARGEMENT UNDER CONSTANT HEAD</t>
  </si>
  <si>
    <t xml:space="preserve">
  Upstream reservoir                          Downstream
  (head H)                                    (tailwater ≈ 0)
       |                                         |
       |   Core / embankment (length L)          |
       |   ===================================== |
       |   |                                   | |
       |   |     cylindrical pipe of radius R(t)| |
       |   |     &lt;----- growing by erosion ----&gt;| |
       |   |                                   | |
       |   ===================================== |
       |                                         |
  Governing idea (Bonelli-type):
    Excess shear stress τ – τc drives radial erosion.
    Under constant pressure drop Δp the radius evolves exponentially:
        R(t) / R0  ≈  (τc/P0) + (1 – τc/P0) · exp(t / ter)
  Characteristic time of piping:
        ter  =  2 · ρd · L  /  (Ce · Δp)          [or close variants]
  Remaining time from detection (Rd) to collapse (Ru), simplified (τc ≈ 0 or small):
        Δtu  ≈  ter · ln(Ru / Rd)
  Practical screening form used in this workbook:
        Δt   =  (2 · ρd · L / (Ce · ρw · g · H)) · ln(Ru / Rd)
  Where Ce = 10^(–I)
</t>
  </si>
  <si>
    <t xml:space="preserve">REPRESENTATIVE EROSION RATE INDEX VALUES BY SOIL TYPE</t>
  </si>
  <si>
    <t xml:space="preserve">Compiled from Wan &amp; Fell (2004), ICOLD Bulletin guidance, and related summaries. Use only for screening; site-specific HET/JET preferred.</t>
  </si>
  <si>
    <t xml:space="preserve">Soil Description / USCS</t>
  </si>
  <si>
    <t xml:space="preserve">Typical I</t>
  </si>
  <si>
    <t xml:space="preserve">Relative Erodibility</t>
  </si>
  <si>
    <t xml:space="preserve">Notes</t>
  </si>
  <si>
    <t xml:space="preserve">Very rapidly erodible (e.g. dispersive clays, fine silts, SM with little plasticity)</t>
  </si>
  <si>
    <t xml:space="preserve">0 – 2</t>
  </si>
  <si>
    <t xml:space="preserve">Extremely rapid</t>
  </si>
  <si>
    <t xml:space="preserve">Failure possible in minutes to a few hours</t>
  </si>
  <si>
    <t xml:space="preserve">Rapidly erodible (many SM, SC, ML, CL with low plasticity)</t>
  </si>
  <si>
    <t xml:space="preserve">2 – 3</t>
  </si>
  <si>
    <t xml:space="preserve">Rapid</t>
  </si>
  <si>
    <t xml:space="preserve">Hours</t>
  </si>
  <si>
    <t xml:space="preserve">Moderately erodible (CL, CH, MH of moderate plasticity)</t>
  </si>
  <si>
    <t xml:space="preserve">3 – 4</t>
  </si>
  <si>
    <t xml:space="preserve">Moderate</t>
  </si>
  <si>
    <t xml:space="preserve">Many hours to a day</t>
  </si>
  <si>
    <t xml:space="preserve">Slowly erodible (higher plasticity clays, well-compacted)</t>
  </si>
  <si>
    <t xml:space="preserve">4 – 5</t>
  </si>
  <si>
    <t xml:space="preserve">Slow</t>
  </si>
  <si>
    <t xml:space="preserve">Days</t>
  </si>
  <si>
    <t xml:space="preserve">Very slowly erodible / extremely resistant</t>
  </si>
  <si>
    <t xml:space="preserve">5 – 6+</t>
  </si>
  <si>
    <t xml:space="preserve">Very slow</t>
  </si>
  <si>
    <t xml:space="preserve">Many days; may self-heal or not progress</t>
  </si>
  <si>
    <t xml:space="preserve">Coarse cohesionless (clean SP, GP) – different mechanism</t>
  </si>
  <si>
    <t xml:space="preserve">N/A (use BEP models)</t>
  </si>
  <si>
    <t xml:space="preserve">Backward erosion piping</t>
  </si>
  <si>
    <t xml:space="preserve">Sellmeijer / Schmertmann / RMC BEP tools</t>
  </si>
  <si>
    <t xml:space="preserve">NOTE: The Erosion Rate Index I is defined such that a change of 1 unit in I corresponds to a factor-of-10 change in Ce. Thus soils with I = 2 erode ~100 times faster than soils with I = 4 under the same excess shear stress. Always prefer laboratory HET or JET results for the actual core material when available.</t>
  </si>
  <si>
    <t xml:space="preserve">03  |  TIME-TO-BREACH CALCULATION  (Simplified Bonelli / Wan–Fell form)</t>
  </si>
  <si>
    <t xml:space="preserve">Δt ≈ ter · ln(Ru / Rd)    with    ter = 2 · ρd · L / (Ce · ρw · g · H)    and    Ce = 10^(–I)</t>
  </si>
  <si>
    <t xml:space="preserve">USER INPUTS</t>
  </si>
  <si>
    <t xml:space="preserve">Parameter</t>
  </si>
  <si>
    <t xml:space="preserve">Value</t>
  </si>
  <si>
    <t xml:space="preserve">Erosion Rate Index (from HET or typical table)</t>
  </si>
  <si>
    <t xml:space="preserve">Dry bulk density of core soil</t>
  </si>
  <si>
    <t xml:space="preserve">Length of pipe / core thickness</t>
  </si>
  <si>
    <t xml:space="preserve">Reservoir head on the core (driving head)</t>
  </si>
  <si>
    <t xml:space="preserve">H</t>
  </si>
  <si>
    <t xml:space="preserve">Pipe radius at detection / start of progression</t>
  </si>
  <si>
    <t xml:space="preserve">Ultimate / collapse radius (e.g. Hb/3)</t>
  </si>
  <si>
    <t xml:space="preserve">Critical shear stress (optional; 0 for simplified)</t>
  </si>
  <si>
    <t xml:space="preserve">τc</t>
  </si>
  <si>
    <t xml:space="preserve">Water density</t>
  </si>
  <si>
    <t xml:space="preserve">ρw</t>
  </si>
  <si>
    <t xml:space="preserve">Gravity</t>
  </si>
  <si>
    <t xml:space="preserve">g</t>
  </si>
  <si>
    <t xml:space="preserve">m/s²</t>
  </si>
  <si>
    <t xml:space="preserve">CALCULATED RESULTS</t>
  </si>
  <si>
    <t xml:space="preserve">Coefficient of soil erosion Ce = 10^(–I)</t>
  </si>
  <si>
    <t xml:space="preserve">s/m</t>
  </si>
  <si>
    <t xml:space="preserve">Driving pressure Δp = ρw · g · H</t>
  </si>
  <si>
    <t xml:space="preserve">Δp</t>
  </si>
  <si>
    <t xml:space="preserve">Characteristic time ter = 2·ρd·L / (Ce·Δp)</t>
  </si>
  <si>
    <t xml:space="preserve">ter</t>
  </si>
  <si>
    <t xml:space="preserve">s</t>
  </si>
  <si>
    <t xml:space="preserve">hours</t>
  </si>
  <si>
    <t xml:space="preserve">Radius ratio Ru / Rd</t>
  </si>
  <si>
    <t xml:space="preserve">Ru/Rd</t>
  </si>
  <si>
    <t xml:space="preserve">ln(Ru / Rd)</t>
  </si>
  <si>
    <t xml:space="preserve">ln</t>
  </si>
  <si>
    <t xml:space="preserve">REMAINING TIME TO BREACH  Δt = ter · ln(Ru/Rd)</t>
  </si>
  <si>
    <t xml:space="preserve">Δt</t>
  </si>
  <si>
    <t xml:space="preserve">Δt in minutes</t>
  </si>
  <si>
    <t xml:space="preserve">Δt_min</t>
  </si>
  <si>
    <t xml:space="preserve">min</t>
  </si>
  <si>
    <t xml:space="preserve">Δt in days</t>
  </si>
  <si>
    <t xml:space="preserve">Δt_day</t>
  </si>
  <si>
    <t xml:space="preserve">days</t>
  </si>
  <si>
    <t xml:space="preserve">INTERPRETATION AID</t>
  </si>
  <si>
    <t xml:space="preserve">• Δt &lt; 1–2 hours  →  extremely rapid progression; intervention window is very short.
• Δt of several hours  →  rapid; emergency drawdown or intervention may still be possible if detection is early.
• Δt of days  →  slower soils; more time for surveillance and response, but still a serious failure mode.
• Always compare with the duration of the critical loading (flood hydrograph, seismic aftershocks, etc.).
• This Δt can be used as a rational estimate of T.Fail (or a lower-bound on it) when feeding the empirical breach hydrograph tools.</t>
  </si>
  <si>
    <t xml:space="preserve">LIMITATIONS &amp; ASSUMPTIONS (read carefully)</t>
  </si>
  <si>
    <t xml:space="preserve">1. Constant reservoir head (Δp constant). Falling head lengthens the real time.
2. Cylindrical pipe of uniform radius; real pipes are irregular and may meander.
3. Constant Ce (no self-healing, no filter action, no change of soil properties).
4. Simplified form often neglects τc; if τc is significant relative to wall shear the process may arrest.
5. Ru is an engineering assumption (commonly Hb/3 or a diameter at which roof collapse is judged likely).
6. Does not replace a full event-tree internal-erosion assessment or the RMC toolboxes for initiation/continuation/progression probability.
7. For cohesionless foundation soils the governing mechanism is usually Backward Erosion Piping (Sellmeijer / Schmertmann), not this concentrated-leak enlargement model.</t>
  </si>
  <si>
    <t xml:space="preserve">04  |  SENSITIVITY OF TIME-TO-BREACH TO EROSION RATE INDEX AND RADIUS RATIO</t>
  </si>
  <si>
    <t xml:space="preserve">Fixed parameters taken from Sheet 03 inputs (ρd, L, H). Vary I and Ru/Rd to see order-of-magnitude changes.</t>
  </si>
  <si>
    <t xml:space="preserve">Fixed from Sheet 03:</t>
  </si>
  <si>
    <t xml:space="preserve">ρd =</t>
  </si>
  <si>
    <t xml:space="preserve">L =</t>
  </si>
  <si>
    <t xml:space="preserve">H =</t>
  </si>
  <si>
    <t xml:space="preserve">Δt (hours) for different I and Ru/Rd</t>
  </si>
  <si>
    <t xml:space="preserve">I \ Ru/Rd</t>
  </si>
  <si>
    <t xml:space="preserve">Reading the table: each column is a different enlargement ratio (Ru/Rd). Each row is a different Erosion Rate Index. Values are in hours. Notice that a change of only 1 unit in I changes Δt by a factor of ~10. This is why laboratory determination of I (or Ce) is far more important than precise knowledge of the exact final radius.</t>
  </si>
  <si>
    <t xml:space="preserve">HOW TO USE THIS RESULT WITH THE DAM BREACH COMPUTATIONAL TOOL</t>
  </si>
  <si>
    <t xml:space="preserve">1. Compute Δt (hours or minutes) on Sheet 03 of this workbook.
2. Open the Dam Breach Computational Tool v1.0 (or the original Break-1 / Break-3 sheets).
3. On the Breach Characteristics or Timestep Hydrograph sheet, replace (or sensitivity-test) the empirical breach-development time t (or T.Fail) with the value of Δt obtained here.
4. Re-compute peak discharge and the outflow hydrograph. The hydrograph volume is still controlled by reservoir volume + inflow; only the rising-limb timing and the attenuation factor K3 change.
5. Document both the empirical Tech-Note-1 t and the erosion-rate-index Δt so that the range of possible breach timings is visible to reviewers.</t>
  </si>
  <si>
    <t xml:space="preserve">RECOMMENDED WORKFLOW</t>
  </si>
  <si>
    <t xml:space="preserve">Soil testing (HET/JET) → obtain I or Ce and τc
→ this workbook → Δt (time to gross enlargement)
→ Dam Breach Tool (Sheet 03 or 05) → set t or T.Fail = Δt
→ obtain Qp and full hydrograph → route downstream (Sheet 07)
→ sensitivity on I and Ru/Rd (Sheet 04 of this workbook)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</si>
</sst>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E+00"/>
    <numFmt numFmtId="166" formatCode="General"/>
    <numFmt numFmtId="167" formatCode="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8"/>
      <name val="Arial"/>
      <family val="0"/>
      <charset val="1"/>
    </font>
    <font>
      <sz val="9"/>
      <name val="Consolas"/>
      <family val="0"/>
      <charset val="1"/>
    </font>
    <font>
      <b val="true"/>
      <sz val="9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1F4E79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D3B66"/>
        <bgColor rgb="FF1F4E79"/>
      </patternFill>
    </fill>
    <fill>
      <patternFill patternType="solid">
        <fgColor rgb="FF1F4E79"/>
        <bgColor rgb="FF0D3B66"/>
      </patternFill>
    </fill>
    <fill>
      <patternFill patternType="solid">
        <fgColor rgb="FF2E75B6"/>
        <bgColor rgb="FF0066CC"/>
      </patternFill>
    </fill>
    <fill>
      <patternFill patternType="solid">
        <fgColor rgb="FFFFF8E7"/>
        <bgColor rgb="FFF2F2F2"/>
      </patternFill>
    </fill>
    <fill>
      <patternFill patternType="solid">
        <fgColor rgb="FFF2F2F2"/>
        <bgColor rgb="FFFFF8E7"/>
      </patternFill>
    </fill>
    <fill>
      <patternFill patternType="solid">
        <fgColor rgb="FFFFF2CC"/>
        <bgColor rgb="FFFFF8E7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D6EAF8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B0B0B0"/>
      </left>
      <right/>
      <top style="thin">
        <color rgb="FFB0B0B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8E7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D3B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5"/>
    <col collapsed="false" customWidth="true" hidden="false" outlineLevel="0" max="4" min="3" style="0" width="25"/>
    <col collapsed="false" customWidth="true" hidden="false" outlineLevel="0" max="6" min="5" style="0" width="20"/>
  </cols>
  <sheetData>
    <row r="2" customFormat="false" ht="22.05" hidden="false" customHeight="true" outlineLevel="0" collapsed="false">
      <c r="B2" s="1" t="s">
        <v>0</v>
      </c>
      <c r="C2" s="1"/>
      <c r="D2" s="1"/>
      <c r="E2" s="1"/>
      <c r="F2" s="1"/>
    </row>
    <row r="3" customFormat="false" ht="15" hidden="false" customHeight="true" outlineLevel="0" collapsed="false">
      <c r="B3" s="2" t="s">
        <v>1</v>
      </c>
      <c r="C3" s="2"/>
      <c r="D3" s="2"/>
      <c r="E3" s="2"/>
      <c r="F3" s="2"/>
    </row>
    <row r="4" customFormat="false" ht="15" hidden="false" customHeight="true" outlineLevel="0" collapsed="false">
      <c r="B4" s="3" t="s">
        <v>2</v>
      </c>
      <c r="C4" s="3"/>
      <c r="D4" s="3"/>
      <c r="E4" s="3"/>
      <c r="F4" s="3"/>
    </row>
    <row r="6" customFormat="false" ht="15" hidden="false" customHeight="true" outlineLevel="0" collapsed="false">
      <c r="B6" s="4" t="s">
        <v>3</v>
      </c>
      <c r="C6" s="4"/>
      <c r="D6" s="4"/>
      <c r="E6" s="4"/>
      <c r="F6" s="4"/>
    </row>
    <row r="7" customFormat="false" ht="15" hidden="false" customHeight="true" outlineLevel="0" collapsed="false">
      <c r="B7" s="5" t="s">
        <v>4</v>
      </c>
      <c r="C7" s="5"/>
      <c r="D7" s="5"/>
      <c r="E7" s="5"/>
      <c r="F7" s="5"/>
    </row>
    <row r="8" customFormat="false" ht="15" hidden="false" customHeight="false" outlineLevel="0" collapsed="false">
      <c r="B8" s="5"/>
      <c r="C8" s="5"/>
      <c r="D8" s="5"/>
      <c r="E8" s="5"/>
      <c r="F8" s="5"/>
    </row>
    <row r="9" customFormat="false" ht="15" hidden="false" customHeight="false" outlineLevel="0" collapsed="false">
      <c r="B9" s="5"/>
      <c r="C9" s="5"/>
      <c r="D9" s="5"/>
      <c r="E9" s="5"/>
      <c r="F9" s="5"/>
    </row>
    <row r="10" customFormat="false" ht="15" hidden="false" customHeight="false" outlineLevel="0" collapsed="false">
      <c r="B10" s="5"/>
      <c r="C10" s="5"/>
      <c r="D10" s="5"/>
      <c r="E10" s="5"/>
      <c r="F10" s="5"/>
    </row>
    <row r="12" customFormat="false" ht="15" hidden="false" customHeight="true" outlineLevel="0" collapsed="false">
      <c r="B12" s="4" t="s">
        <v>5</v>
      </c>
      <c r="C12" s="4"/>
      <c r="D12" s="4"/>
      <c r="E12" s="4"/>
      <c r="F12" s="4"/>
    </row>
    <row r="13" customFormat="false" ht="22.35" hidden="false" customHeight="true" outlineLevel="0" collapsed="false">
      <c r="B13" s="6" t="s">
        <v>6</v>
      </c>
      <c r="C13" s="6"/>
      <c r="D13" s="6"/>
      <c r="E13" s="6"/>
      <c r="F13" s="6"/>
    </row>
    <row r="14" customFormat="false" ht="15" hidden="false" customHeight="true" outlineLevel="0" collapsed="false">
      <c r="B14" s="7" t="s">
        <v>7</v>
      </c>
      <c r="C14" s="7"/>
      <c r="D14" s="7"/>
      <c r="E14" s="7"/>
      <c r="F14" s="7"/>
    </row>
    <row r="15" customFormat="false" ht="15" hidden="false" customHeight="true" outlineLevel="0" collapsed="false">
      <c r="B15" s="6" t="s">
        <v>8</v>
      </c>
      <c r="C15" s="6"/>
      <c r="D15" s="6"/>
      <c r="E15" s="6"/>
      <c r="F15" s="6"/>
    </row>
    <row r="16" customFormat="false" ht="15" hidden="false" customHeight="true" outlineLevel="0" collapsed="false">
      <c r="B16" s="7" t="s">
        <v>9</v>
      </c>
      <c r="C16" s="7"/>
      <c r="D16" s="7"/>
      <c r="E16" s="7"/>
      <c r="F16" s="7"/>
    </row>
    <row r="17" customFormat="false" ht="15" hidden="false" customHeight="true" outlineLevel="0" collapsed="false">
      <c r="B17" s="6" t="s">
        <v>10</v>
      </c>
      <c r="C17" s="6"/>
      <c r="D17" s="6"/>
      <c r="E17" s="6"/>
      <c r="F17" s="6"/>
    </row>
    <row r="18" customFormat="false" ht="15" hidden="false" customHeight="true" outlineLevel="0" collapsed="false">
      <c r="B18" s="7" t="s">
        <v>11</v>
      </c>
      <c r="C18" s="7"/>
      <c r="D18" s="7"/>
      <c r="E18" s="7"/>
      <c r="F18" s="7"/>
    </row>
    <row r="20" customFormat="false" ht="15" hidden="false" customHeight="true" outlineLevel="0" collapsed="false">
      <c r="B20" s="4" t="s">
        <v>12</v>
      </c>
      <c r="C20" s="4"/>
      <c r="D20" s="4"/>
      <c r="E20" s="4"/>
      <c r="F20" s="4"/>
    </row>
    <row r="21" customFormat="false" ht="15" hidden="false" customHeight="false" outlineLevel="0" collapsed="false">
      <c r="B21" s="8" t="s">
        <v>13</v>
      </c>
      <c r="C21" s="9" t="s">
        <v>14</v>
      </c>
    </row>
    <row r="22" customFormat="false" ht="15" hidden="false" customHeight="false" outlineLevel="0" collapsed="false">
      <c r="B22" s="10" t="s">
        <v>15</v>
      </c>
      <c r="C22" s="9" t="s">
        <v>16</v>
      </c>
    </row>
    <row r="23" customFormat="false" ht="15" hidden="false" customHeight="false" outlineLevel="0" collapsed="false">
      <c r="B23" s="11" t="s">
        <v>17</v>
      </c>
      <c r="C23" s="9" t="s">
        <v>18</v>
      </c>
    </row>
    <row r="24" customFormat="false" ht="15" hidden="false" customHeight="false" outlineLevel="0" collapsed="false">
      <c r="B24" s="12" t="s">
        <v>19</v>
      </c>
      <c r="C24" s="9" t="s">
        <v>20</v>
      </c>
    </row>
    <row r="26" customFormat="false" ht="15" hidden="false" customHeight="true" outlineLevel="0" collapsed="false">
      <c r="B26" s="4" t="s">
        <v>21</v>
      </c>
      <c r="C26" s="4"/>
      <c r="D26" s="4"/>
      <c r="E26" s="4"/>
      <c r="F26" s="4"/>
    </row>
    <row r="27" customFormat="false" ht="15" hidden="false" customHeight="true" outlineLevel="0" collapsed="false">
      <c r="B27" s="5" t="s">
        <v>22</v>
      </c>
      <c r="C27" s="5"/>
      <c r="D27" s="5"/>
      <c r="E27" s="5"/>
      <c r="F27" s="5"/>
    </row>
    <row r="28" customFormat="false" ht="15" hidden="false" customHeight="false" outlineLevel="0" collapsed="false">
      <c r="B28" s="5"/>
      <c r="C28" s="5"/>
      <c r="D28" s="5"/>
      <c r="E28" s="5"/>
      <c r="F28" s="5"/>
    </row>
    <row r="29" customFormat="false" ht="15" hidden="false" customHeight="false" outlineLevel="0" collapsed="false">
      <c r="B29" s="5"/>
      <c r="C29" s="5"/>
      <c r="D29" s="5"/>
      <c r="E29" s="5"/>
      <c r="F29" s="5"/>
    </row>
  </sheetData>
  <mergeCells count="15">
    <mergeCell ref="B2:F2"/>
    <mergeCell ref="B3:F3"/>
    <mergeCell ref="B4:F4"/>
    <mergeCell ref="B6:F6"/>
    <mergeCell ref="B7:F10"/>
    <mergeCell ref="B12:F12"/>
    <mergeCell ref="B13:F13"/>
    <mergeCell ref="B14:F14"/>
    <mergeCell ref="B15:F15"/>
    <mergeCell ref="B16:F16"/>
    <mergeCell ref="B17:F17"/>
    <mergeCell ref="B18:F18"/>
    <mergeCell ref="B20:F20"/>
    <mergeCell ref="B26:F26"/>
    <mergeCell ref="B27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50"/>
    <col collapsed="false" customWidth="true" hidden="false" outlineLevel="0" max="6" min="6" style="0" width="40"/>
  </cols>
  <sheetData>
    <row r="2" customFormat="false" ht="17.35" hidden="false" customHeight="true" outlineLevel="0" collapsed="false">
      <c r="B2" s="13" t="s">
        <v>23</v>
      </c>
      <c r="C2" s="13"/>
      <c r="D2" s="13"/>
      <c r="E2" s="13"/>
      <c r="F2" s="13"/>
    </row>
    <row r="4" customFormat="false" ht="15" hidden="false" customHeight="true" outlineLevel="0" collapsed="false">
      <c r="B4" s="4" t="s">
        <v>24</v>
      </c>
      <c r="C4" s="4"/>
      <c r="D4" s="4"/>
      <c r="E4" s="4"/>
      <c r="F4" s="4"/>
    </row>
    <row r="5" customFormat="false" ht="26.85" hidden="false" customHeight="false" outlineLevel="0" collapsed="false">
      <c r="B5" s="14" t="s">
        <v>25</v>
      </c>
      <c r="C5" s="14" t="s">
        <v>26</v>
      </c>
      <c r="D5" s="14" t="s">
        <v>27</v>
      </c>
      <c r="E5" s="14" t="s">
        <v>28</v>
      </c>
      <c r="F5" s="14" t="s">
        <v>29</v>
      </c>
    </row>
    <row r="6" customFormat="false" ht="22.35" hidden="false" customHeight="false" outlineLevel="0" collapsed="false">
      <c r="B6" s="15" t="s">
        <v>30</v>
      </c>
      <c r="C6" s="16" t="s">
        <v>31</v>
      </c>
      <c r="D6" s="17" t="s">
        <v>32</v>
      </c>
      <c r="E6" s="17" t="s">
        <v>33</v>
      </c>
      <c r="F6" s="18" t="s">
        <v>34</v>
      </c>
    </row>
    <row r="7" customFormat="false" ht="23.85" hidden="false" customHeight="false" outlineLevel="0" collapsed="false">
      <c r="B7" s="19" t="s">
        <v>35</v>
      </c>
      <c r="C7" s="20" t="s">
        <v>36</v>
      </c>
      <c r="D7" s="21" t="s">
        <v>37</v>
      </c>
      <c r="E7" s="21" t="s">
        <v>38</v>
      </c>
      <c r="F7" s="22" t="s">
        <v>39</v>
      </c>
    </row>
    <row r="8" customFormat="false" ht="22.35" hidden="false" customHeight="false" outlineLevel="0" collapsed="false">
      <c r="B8" s="15" t="s">
        <v>40</v>
      </c>
      <c r="C8" s="16" t="s">
        <v>41</v>
      </c>
      <c r="D8" s="17" t="s">
        <v>42</v>
      </c>
      <c r="E8" s="17" t="s">
        <v>43</v>
      </c>
      <c r="F8" s="18" t="s">
        <v>44</v>
      </c>
    </row>
    <row r="9" customFormat="false" ht="15" hidden="false" customHeight="false" outlineLevel="0" collapsed="false">
      <c r="B9" s="19" t="s">
        <v>45</v>
      </c>
      <c r="C9" s="20" t="s">
        <v>46</v>
      </c>
      <c r="D9" s="21" t="s">
        <v>47</v>
      </c>
      <c r="E9" s="21" t="s">
        <v>48</v>
      </c>
      <c r="F9" s="22" t="s">
        <v>49</v>
      </c>
    </row>
    <row r="10" customFormat="false" ht="22.35" hidden="false" customHeight="false" outlineLevel="0" collapsed="false">
      <c r="B10" s="15" t="s">
        <v>50</v>
      </c>
      <c r="C10" s="16" t="s">
        <v>31</v>
      </c>
      <c r="D10" s="17" t="s">
        <v>51</v>
      </c>
      <c r="E10" s="17" t="s">
        <v>52</v>
      </c>
      <c r="F10" s="18" t="s">
        <v>53</v>
      </c>
    </row>
    <row r="12" customFormat="false" ht="15" hidden="false" customHeight="true" outlineLevel="0" collapsed="false">
      <c r="B12" s="4" t="s">
        <v>54</v>
      </c>
      <c r="C12" s="4"/>
      <c r="D12" s="4"/>
      <c r="E12" s="4"/>
      <c r="F12" s="4"/>
    </row>
    <row r="13" customFormat="false" ht="26.85" hidden="false" customHeight="false" outlineLevel="0" collapsed="false">
      <c r="B13" s="14" t="s">
        <v>25</v>
      </c>
      <c r="C13" s="14" t="s">
        <v>26</v>
      </c>
      <c r="D13" s="14" t="s">
        <v>27</v>
      </c>
      <c r="E13" s="14" t="s">
        <v>28</v>
      </c>
      <c r="F13" s="14" t="s">
        <v>29</v>
      </c>
    </row>
    <row r="14" customFormat="false" ht="22.35" hidden="false" customHeight="false" outlineLevel="0" collapsed="false">
      <c r="B14" s="15" t="s">
        <v>55</v>
      </c>
      <c r="C14" s="16" t="s">
        <v>56</v>
      </c>
      <c r="D14" s="17" t="s">
        <v>57</v>
      </c>
      <c r="E14" s="17" t="s">
        <v>58</v>
      </c>
      <c r="F14" s="18" t="s">
        <v>59</v>
      </c>
    </row>
    <row r="15" customFormat="false" ht="22.35" hidden="false" customHeight="false" outlineLevel="0" collapsed="false">
      <c r="B15" s="19" t="s">
        <v>60</v>
      </c>
      <c r="C15" s="20" t="s">
        <v>61</v>
      </c>
      <c r="D15" s="21" t="s">
        <v>62</v>
      </c>
      <c r="E15" s="21" t="s">
        <v>63</v>
      </c>
      <c r="F15" s="22" t="s">
        <v>64</v>
      </c>
    </row>
    <row r="16" customFormat="false" ht="22.35" hidden="false" customHeight="false" outlineLevel="0" collapsed="false">
      <c r="B16" s="15" t="s">
        <v>65</v>
      </c>
      <c r="C16" s="16" t="s">
        <v>56</v>
      </c>
      <c r="D16" s="17" t="s">
        <v>66</v>
      </c>
      <c r="E16" s="17" t="s">
        <v>67</v>
      </c>
      <c r="F16" s="18" t="s">
        <v>68</v>
      </c>
    </row>
    <row r="17" customFormat="false" ht="22.35" hidden="false" customHeight="false" outlineLevel="0" collapsed="false">
      <c r="B17" s="19" t="s">
        <v>69</v>
      </c>
      <c r="C17" s="20" t="s">
        <v>56</v>
      </c>
      <c r="D17" s="21" t="s">
        <v>70</v>
      </c>
      <c r="E17" s="21" t="s">
        <v>71</v>
      </c>
      <c r="F17" s="22" t="s">
        <v>72</v>
      </c>
    </row>
    <row r="18" customFormat="false" ht="15" hidden="false" customHeight="false" outlineLevel="0" collapsed="false">
      <c r="B18" s="15" t="s">
        <v>73</v>
      </c>
      <c r="C18" s="16" t="s">
        <v>56</v>
      </c>
      <c r="D18" s="17" t="s">
        <v>74</v>
      </c>
      <c r="E18" s="17" t="s">
        <v>75</v>
      </c>
      <c r="F18" s="18" t="s">
        <v>76</v>
      </c>
    </row>
    <row r="19" customFormat="false" ht="15" hidden="false" customHeight="false" outlineLevel="0" collapsed="false">
      <c r="B19" s="19" t="s">
        <v>77</v>
      </c>
      <c r="C19" s="20" t="s">
        <v>41</v>
      </c>
      <c r="D19" s="21" t="s">
        <v>78</v>
      </c>
      <c r="E19" s="21" t="s">
        <v>79</v>
      </c>
      <c r="F19" s="22" t="s">
        <v>80</v>
      </c>
    </row>
    <row r="21" customFormat="false" ht="15" hidden="false" customHeight="true" outlineLevel="0" collapsed="false">
      <c r="B21" s="4" t="s">
        <v>81</v>
      </c>
      <c r="C21" s="4"/>
      <c r="D21" s="4"/>
      <c r="E21" s="4"/>
      <c r="F21" s="4"/>
    </row>
    <row r="22" customFormat="false" ht="259.5" hidden="false" customHeight="true" outlineLevel="0" collapsed="false">
      <c r="B22" s="23" t="s">
        <v>82</v>
      </c>
      <c r="C22" s="23"/>
      <c r="D22" s="23"/>
      <c r="E22" s="23"/>
      <c r="F22" s="23"/>
    </row>
    <row r="23" customFormat="false" ht="15" hidden="false" customHeight="false" outlineLevel="0" collapsed="false">
      <c r="B23" s="23"/>
      <c r="C23" s="23"/>
      <c r="D23" s="23"/>
      <c r="E23" s="23"/>
      <c r="F23" s="23"/>
    </row>
    <row r="24" customFormat="false" ht="15" hidden="false" customHeight="false" outlineLevel="0" collapsed="false">
      <c r="B24" s="23"/>
      <c r="C24" s="23"/>
      <c r="D24" s="23"/>
      <c r="E24" s="23"/>
      <c r="F24" s="23"/>
    </row>
    <row r="25" customFormat="false" ht="15" hidden="false" customHeight="false" outlineLevel="0" collapsed="false">
      <c r="B25" s="23"/>
      <c r="C25" s="23"/>
      <c r="D25" s="23"/>
      <c r="E25" s="23"/>
      <c r="F25" s="23"/>
    </row>
    <row r="26" customFormat="false" ht="15" hidden="false" customHeight="false" outlineLevel="0" collapsed="false">
      <c r="B26" s="23"/>
      <c r="C26" s="23"/>
      <c r="D26" s="23"/>
      <c r="E26" s="23"/>
      <c r="F26" s="23"/>
    </row>
    <row r="27" customFormat="false" ht="15" hidden="false" customHeight="false" outlineLevel="0" collapsed="false">
      <c r="B27" s="23"/>
      <c r="C27" s="23"/>
      <c r="D27" s="23"/>
      <c r="E27" s="23"/>
      <c r="F27" s="23"/>
    </row>
    <row r="28" customFormat="false" ht="15" hidden="false" customHeight="false" outlineLevel="0" collapsed="false">
      <c r="B28" s="23"/>
      <c r="C28" s="23"/>
      <c r="D28" s="23"/>
      <c r="E28" s="23"/>
      <c r="F28" s="23"/>
    </row>
    <row r="29" customFormat="false" ht="15" hidden="false" customHeight="false" outlineLevel="0" collapsed="false">
      <c r="B29" s="23"/>
      <c r="C29" s="23"/>
      <c r="D29" s="23"/>
      <c r="E29" s="23"/>
      <c r="F29" s="23"/>
    </row>
    <row r="30" customFormat="false" ht="15" hidden="false" customHeight="false" outlineLevel="0" collapsed="false">
      <c r="B30" s="23"/>
      <c r="C30" s="23"/>
      <c r="D30" s="23"/>
      <c r="E30" s="23"/>
      <c r="F30" s="23"/>
    </row>
    <row r="31" customFormat="false" ht="15" hidden="false" customHeight="false" outlineLevel="0" collapsed="false">
      <c r="B31" s="23"/>
      <c r="C31" s="23"/>
      <c r="D31" s="23"/>
      <c r="E31" s="23"/>
      <c r="F31" s="23"/>
    </row>
    <row r="32" customFormat="false" ht="15" hidden="false" customHeight="false" outlineLevel="0" collapsed="false">
      <c r="B32" s="23"/>
      <c r="C32" s="23"/>
      <c r="D32" s="23"/>
      <c r="E32" s="23"/>
      <c r="F32" s="23"/>
    </row>
    <row r="33" customFormat="false" ht="15" hidden="false" customHeight="false" outlineLevel="0" collapsed="false">
      <c r="B33" s="23"/>
      <c r="C33" s="23"/>
      <c r="D33" s="23"/>
      <c r="E33" s="23"/>
      <c r="F33" s="23"/>
    </row>
    <row r="34" customFormat="false" ht="15" hidden="false" customHeight="false" outlineLevel="0" collapsed="false">
      <c r="B34" s="23"/>
      <c r="C34" s="23"/>
      <c r="D34" s="23"/>
      <c r="E34" s="23"/>
      <c r="F34" s="23"/>
    </row>
    <row r="35" customFormat="false" ht="15" hidden="false" customHeight="false" outlineLevel="0" collapsed="false">
      <c r="B35" s="23"/>
      <c r="C35" s="23"/>
      <c r="D35" s="23"/>
      <c r="E35" s="23"/>
      <c r="F35" s="23"/>
    </row>
    <row r="36" customFormat="false" ht="15" hidden="false" customHeight="false" outlineLevel="0" collapsed="false">
      <c r="B36" s="23"/>
      <c r="C36" s="23"/>
      <c r="D36" s="23"/>
      <c r="E36" s="23"/>
      <c r="F36" s="23"/>
    </row>
    <row r="37" customFormat="false" ht="15" hidden="false" customHeight="false" outlineLevel="0" collapsed="false">
      <c r="B37" s="23"/>
      <c r="C37" s="23"/>
      <c r="D37" s="23"/>
      <c r="E37" s="23"/>
      <c r="F37" s="23"/>
    </row>
    <row r="38" customFormat="false" ht="15" hidden="false" customHeight="false" outlineLevel="0" collapsed="false">
      <c r="B38" s="23"/>
      <c r="C38" s="23"/>
      <c r="D38" s="23"/>
      <c r="E38" s="23"/>
      <c r="F38" s="23"/>
    </row>
  </sheetData>
  <mergeCells count="5">
    <mergeCell ref="B2:F2"/>
    <mergeCell ref="B4:F4"/>
    <mergeCell ref="B12:F12"/>
    <mergeCell ref="B21:F21"/>
    <mergeCell ref="B22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5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40"/>
  </cols>
  <sheetData>
    <row r="2" customFormat="false" ht="17.35" hidden="false" customHeight="true" outlineLevel="0" collapsed="false">
      <c r="B2" s="13" t="s">
        <v>83</v>
      </c>
      <c r="C2" s="13"/>
      <c r="D2" s="13"/>
      <c r="E2" s="13"/>
    </row>
    <row r="3" customFormat="false" ht="15" hidden="false" customHeight="false" outlineLevel="0" collapsed="false">
      <c r="B3" s="24" t="s">
        <v>84</v>
      </c>
      <c r="C3" s="24"/>
      <c r="D3" s="24"/>
      <c r="E3" s="24"/>
    </row>
    <row r="5" customFormat="false" ht="26.85" hidden="false" customHeight="false" outlineLevel="0" collapsed="false">
      <c r="B5" s="14" t="s">
        <v>85</v>
      </c>
      <c r="C5" s="14" t="s">
        <v>86</v>
      </c>
      <c r="D5" s="14" t="s">
        <v>87</v>
      </c>
      <c r="E5" s="14" t="s">
        <v>88</v>
      </c>
    </row>
    <row r="6" customFormat="false" ht="22.35" hidden="false" customHeight="false" outlineLevel="0" collapsed="false">
      <c r="B6" s="17" t="s">
        <v>89</v>
      </c>
      <c r="C6" s="15" t="s">
        <v>90</v>
      </c>
      <c r="D6" s="17" t="s">
        <v>91</v>
      </c>
      <c r="E6" s="18" t="s">
        <v>92</v>
      </c>
    </row>
    <row r="7" customFormat="false" ht="22.35" hidden="false" customHeight="false" outlineLevel="0" collapsed="false">
      <c r="B7" s="21" t="s">
        <v>93</v>
      </c>
      <c r="C7" s="19" t="s">
        <v>94</v>
      </c>
      <c r="D7" s="21" t="s">
        <v>95</v>
      </c>
      <c r="E7" s="22" t="s">
        <v>96</v>
      </c>
    </row>
    <row r="8" customFormat="false" ht="22.35" hidden="false" customHeight="false" outlineLevel="0" collapsed="false">
      <c r="B8" s="17" t="s">
        <v>97</v>
      </c>
      <c r="C8" s="15" t="s">
        <v>98</v>
      </c>
      <c r="D8" s="17" t="s">
        <v>99</v>
      </c>
      <c r="E8" s="18" t="s">
        <v>100</v>
      </c>
    </row>
    <row r="9" customFormat="false" ht="22.35" hidden="false" customHeight="false" outlineLevel="0" collapsed="false">
      <c r="B9" s="21" t="s">
        <v>101</v>
      </c>
      <c r="C9" s="19" t="s">
        <v>102</v>
      </c>
      <c r="D9" s="21" t="s">
        <v>103</v>
      </c>
      <c r="E9" s="22" t="s">
        <v>104</v>
      </c>
    </row>
    <row r="10" customFormat="false" ht="15" hidden="false" customHeight="false" outlineLevel="0" collapsed="false">
      <c r="B10" s="17" t="s">
        <v>105</v>
      </c>
      <c r="C10" s="15" t="s">
        <v>106</v>
      </c>
      <c r="D10" s="17" t="s">
        <v>107</v>
      </c>
      <c r="E10" s="18" t="s">
        <v>108</v>
      </c>
    </row>
    <row r="11" customFormat="false" ht="23.85" hidden="false" customHeight="false" outlineLevel="0" collapsed="false">
      <c r="B11" s="21" t="s">
        <v>109</v>
      </c>
      <c r="C11" s="19" t="s">
        <v>110</v>
      </c>
      <c r="D11" s="21" t="s">
        <v>111</v>
      </c>
      <c r="E11" s="22" t="s">
        <v>112</v>
      </c>
    </row>
    <row r="13" customFormat="false" ht="15" hidden="false" customHeight="true" outlineLevel="0" collapsed="false">
      <c r="B13" s="5" t="s">
        <v>113</v>
      </c>
      <c r="C13" s="5"/>
      <c r="D13" s="5"/>
      <c r="E13" s="5"/>
    </row>
    <row r="14" customFormat="false" ht="15" hidden="false" customHeight="false" outlineLevel="0" collapsed="false">
      <c r="B14" s="5"/>
      <c r="C14" s="5"/>
      <c r="D14" s="5"/>
      <c r="E14" s="5"/>
    </row>
    <row r="15" customFormat="false" ht="15" hidden="false" customHeight="false" outlineLevel="0" collapsed="false">
      <c r="B15" s="5"/>
      <c r="C15" s="5"/>
      <c r="D15" s="5"/>
      <c r="E15" s="5"/>
    </row>
  </sheetData>
  <mergeCells count="3">
    <mergeCell ref="B2:E2"/>
    <mergeCell ref="B3:E3"/>
    <mergeCell ref="B13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8"/>
  </cols>
  <sheetData>
    <row r="2" customFormat="false" ht="17.35" hidden="false" customHeight="true" outlineLevel="0" collapsed="false">
      <c r="B2" s="13" t="s">
        <v>114</v>
      </c>
      <c r="C2" s="13"/>
      <c r="D2" s="13"/>
      <c r="E2" s="13"/>
      <c r="F2" s="13"/>
      <c r="G2" s="13"/>
    </row>
    <row r="3" customFormat="false" ht="15" hidden="false" customHeight="false" outlineLevel="0" collapsed="false">
      <c r="B3" s="24" t="s">
        <v>115</v>
      </c>
      <c r="C3" s="24"/>
      <c r="D3" s="24"/>
      <c r="E3" s="24"/>
      <c r="F3" s="24"/>
      <c r="G3" s="24"/>
    </row>
    <row r="5" customFormat="false" ht="15" hidden="false" customHeight="true" outlineLevel="0" collapsed="false">
      <c r="B5" s="4" t="s">
        <v>116</v>
      </c>
      <c r="C5" s="4"/>
      <c r="D5" s="4"/>
      <c r="E5" s="4"/>
    </row>
    <row r="6" customFormat="false" ht="15" hidden="false" customHeight="false" outlineLevel="0" collapsed="false">
      <c r="B6" s="14" t="s">
        <v>117</v>
      </c>
      <c r="C6" s="14" t="s">
        <v>25</v>
      </c>
      <c r="D6" s="14" t="s">
        <v>118</v>
      </c>
      <c r="E6" s="14" t="s">
        <v>26</v>
      </c>
    </row>
    <row r="7" customFormat="false" ht="15" hidden="false" customHeight="false" outlineLevel="0" collapsed="false">
      <c r="B7" s="25" t="s">
        <v>119</v>
      </c>
      <c r="C7" s="26" t="s">
        <v>30</v>
      </c>
      <c r="D7" s="27" t="n">
        <v>3</v>
      </c>
      <c r="E7" s="25" t="s">
        <v>31</v>
      </c>
    </row>
    <row r="8" customFormat="false" ht="15" hidden="false" customHeight="false" outlineLevel="0" collapsed="false">
      <c r="B8" s="25" t="s">
        <v>120</v>
      </c>
      <c r="C8" s="26" t="s">
        <v>45</v>
      </c>
      <c r="D8" s="27" t="n">
        <v>1800</v>
      </c>
      <c r="E8" s="25" t="s">
        <v>46</v>
      </c>
    </row>
    <row r="9" customFormat="false" ht="15" hidden="false" customHeight="false" outlineLevel="0" collapsed="false">
      <c r="B9" s="25" t="s">
        <v>121</v>
      </c>
      <c r="C9" s="26" t="s">
        <v>55</v>
      </c>
      <c r="D9" s="27" t="n">
        <v>20</v>
      </c>
      <c r="E9" s="25" t="s">
        <v>56</v>
      </c>
    </row>
    <row r="10" customFormat="false" ht="15" hidden="false" customHeight="false" outlineLevel="0" collapsed="false">
      <c r="B10" s="25" t="s">
        <v>122</v>
      </c>
      <c r="C10" s="26" t="s">
        <v>123</v>
      </c>
      <c r="D10" s="27" t="n">
        <v>15</v>
      </c>
      <c r="E10" s="25" t="s">
        <v>56</v>
      </c>
    </row>
    <row r="11" customFormat="false" ht="15" hidden="false" customHeight="false" outlineLevel="0" collapsed="false">
      <c r="B11" s="25" t="s">
        <v>124</v>
      </c>
      <c r="C11" s="26" t="s">
        <v>65</v>
      </c>
      <c r="D11" s="27" t="n">
        <v>0.05</v>
      </c>
      <c r="E11" s="25" t="s">
        <v>56</v>
      </c>
    </row>
    <row r="12" customFormat="false" ht="15" hidden="false" customHeight="false" outlineLevel="0" collapsed="false">
      <c r="B12" s="25" t="s">
        <v>125</v>
      </c>
      <c r="C12" s="26" t="s">
        <v>69</v>
      </c>
      <c r="D12" s="27" t="n">
        <v>3</v>
      </c>
      <c r="E12" s="25" t="s">
        <v>56</v>
      </c>
    </row>
    <row r="13" customFormat="false" ht="15" hidden="false" customHeight="false" outlineLevel="0" collapsed="false">
      <c r="B13" s="25" t="s">
        <v>126</v>
      </c>
      <c r="C13" s="26" t="s">
        <v>127</v>
      </c>
      <c r="D13" s="27" t="n">
        <v>0</v>
      </c>
      <c r="E13" s="25" t="s">
        <v>41</v>
      </c>
    </row>
    <row r="14" customFormat="false" ht="15" hidden="false" customHeight="false" outlineLevel="0" collapsed="false">
      <c r="B14" s="25" t="s">
        <v>128</v>
      </c>
      <c r="C14" s="26" t="s">
        <v>129</v>
      </c>
      <c r="D14" s="27" t="n">
        <v>1000</v>
      </c>
      <c r="E14" s="25" t="s">
        <v>46</v>
      </c>
    </row>
    <row r="15" customFormat="false" ht="15" hidden="false" customHeight="false" outlineLevel="0" collapsed="false">
      <c r="B15" s="25" t="s">
        <v>130</v>
      </c>
      <c r="C15" s="26" t="s">
        <v>131</v>
      </c>
      <c r="D15" s="27" t="n">
        <v>9.81</v>
      </c>
      <c r="E15" s="25" t="s">
        <v>132</v>
      </c>
    </row>
    <row r="17" customFormat="false" ht="15" hidden="false" customHeight="true" outlineLevel="0" collapsed="false">
      <c r="B17" s="4" t="s">
        <v>133</v>
      </c>
      <c r="C17" s="4"/>
      <c r="D17" s="4"/>
      <c r="E17" s="4"/>
    </row>
    <row r="18" customFormat="false" ht="15" hidden="false" customHeight="false" outlineLevel="0" collapsed="false">
      <c r="B18" s="28" t="s">
        <v>134</v>
      </c>
      <c r="C18" s="28" t="s">
        <v>35</v>
      </c>
      <c r="D18" s="29" t="n">
        <f aca="false">10^(-D7)</f>
        <v>0.001</v>
      </c>
      <c r="E18" s="28" t="s">
        <v>135</v>
      </c>
    </row>
    <row r="19" customFormat="false" ht="15" hidden="false" customHeight="false" outlineLevel="0" collapsed="false">
      <c r="B19" s="28" t="s">
        <v>136</v>
      </c>
      <c r="C19" s="28" t="s">
        <v>137</v>
      </c>
      <c r="D19" s="30" t="n">
        <f aca="false">D14*D15*D10</f>
        <v>147150</v>
      </c>
      <c r="E19" s="28" t="s">
        <v>41</v>
      </c>
    </row>
    <row r="20" customFormat="false" ht="15" hidden="false" customHeight="false" outlineLevel="0" collapsed="false">
      <c r="B20" s="28" t="s">
        <v>138</v>
      </c>
      <c r="C20" s="28" t="s">
        <v>139</v>
      </c>
      <c r="D20" s="30" t="n">
        <f aca="false">2*D8*D9/(D18*D19)</f>
        <v>489.296636085627</v>
      </c>
      <c r="E20" s="28" t="s">
        <v>140</v>
      </c>
      <c r="F20" s="30" t="n">
        <f aca="false">D20/3600</f>
        <v>0.135915732246007</v>
      </c>
      <c r="G20" s="28" t="s">
        <v>141</v>
      </c>
    </row>
    <row r="21" customFormat="false" ht="15" hidden="false" customHeight="false" outlineLevel="0" collapsed="false">
      <c r="B21" s="28" t="s">
        <v>142</v>
      </c>
      <c r="C21" s="28" t="s">
        <v>143</v>
      </c>
      <c r="D21" s="30" t="n">
        <f aca="false">D12/D11</f>
        <v>60</v>
      </c>
      <c r="E21" s="28" t="s">
        <v>31</v>
      </c>
    </row>
    <row r="22" customFormat="false" ht="15" hidden="false" customHeight="false" outlineLevel="0" collapsed="false">
      <c r="B22" s="28" t="s">
        <v>144</v>
      </c>
      <c r="C22" s="28" t="s">
        <v>145</v>
      </c>
      <c r="D22" s="30" t="n">
        <f aca="false">LN(D21)</f>
        <v>4.0943445622221</v>
      </c>
      <c r="E22" s="28" t="s">
        <v>31</v>
      </c>
    </row>
    <row r="23" customFormat="false" ht="15" hidden="false" customHeight="false" outlineLevel="0" collapsed="false">
      <c r="B23" s="28" t="s">
        <v>146</v>
      </c>
      <c r="C23" s="28" t="s">
        <v>147</v>
      </c>
      <c r="D23" s="31" t="n">
        <f aca="false">D20*D22</f>
        <v>2003.34902127075</v>
      </c>
      <c r="E23" s="28" t="s">
        <v>140</v>
      </c>
      <c r="F23" s="31" t="n">
        <f aca="false">D23/3600</f>
        <v>0.556485839241876</v>
      </c>
      <c r="G23" s="28" t="s">
        <v>141</v>
      </c>
    </row>
    <row r="24" customFormat="false" ht="15" hidden="false" customHeight="false" outlineLevel="0" collapsed="false">
      <c r="B24" s="28" t="s">
        <v>148</v>
      </c>
      <c r="C24" s="28" t="s">
        <v>149</v>
      </c>
      <c r="D24" s="30" t="n">
        <f aca="false">D23/60</f>
        <v>33.3891503545125</v>
      </c>
      <c r="E24" s="28" t="s">
        <v>150</v>
      </c>
    </row>
    <row r="25" customFormat="false" ht="15" hidden="false" customHeight="false" outlineLevel="0" collapsed="false">
      <c r="B25" s="28" t="s">
        <v>151</v>
      </c>
      <c r="C25" s="28" t="s">
        <v>152</v>
      </c>
      <c r="D25" s="30" t="n">
        <f aca="false">D23/86400</f>
        <v>0.0231869099684115</v>
      </c>
      <c r="E25" s="28" t="s">
        <v>153</v>
      </c>
    </row>
    <row r="27" customFormat="false" ht="15" hidden="false" customHeight="true" outlineLevel="0" collapsed="false">
      <c r="B27" s="4" t="s">
        <v>154</v>
      </c>
      <c r="C27" s="4"/>
      <c r="D27" s="4"/>
      <c r="E27" s="4"/>
      <c r="F27" s="4"/>
      <c r="G27" s="4"/>
    </row>
    <row r="28" customFormat="false" ht="15" hidden="false" customHeight="true" outlineLevel="0" collapsed="false">
      <c r="B28" s="5" t="s">
        <v>155</v>
      </c>
      <c r="C28" s="5"/>
      <c r="D28" s="5"/>
      <c r="E28" s="5"/>
      <c r="F28" s="5"/>
      <c r="G28" s="5"/>
    </row>
    <row r="29" customFormat="false" ht="15" hidden="false" customHeight="false" outlineLevel="0" collapsed="false">
      <c r="B29" s="5"/>
      <c r="C29" s="5"/>
      <c r="D29" s="5"/>
      <c r="E29" s="5"/>
      <c r="F29" s="5"/>
      <c r="G29" s="5"/>
    </row>
    <row r="30" customFormat="false" ht="15" hidden="false" customHeight="false" outlineLevel="0" collapsed="false">
      <c r="B30" s="5"/>
      <c r="C30" s="5"/>
      <c r="D30" s="5"/>
      <c r="E30" s="5"/>
      <c r="F30" s="5"/>
      <c r="G30" s="5"/>
    </row>
    <row r="32" customFormat="false" ht="15" hidden="false" customHeight="true" outlineLevel="0" collapsed="false">
      <c r="B32" s="32" t="s">
        <v>156</v>
      </c>
      <c r="C32" s="32"/>
      <c r="D32" s="32"/>
      <c r="E32" s="32"/>
      <c r="F32" s="32"/>
      <c r="G32" s="32"/>
    </row>
    <row r="33" customFormat="false" ht="15" hidden="false" customHeight="true" outlineLevel="0" collapsed="false">
      <c r="B33" s="5" t="s">
        <v>157</v>
      </c>
      <c r="C33" s="5"/>
      <c r="D33" s="5"/>
      <c r="E33" s="5"/>
      <c r="F33" s="5"/>
      <c r="G33" s="5"/>
    </row>
    <row r="34" customFormat="false" ht="15" hidden="false" customHeight="false" outlineLevel="0" collapsed="false">
      <c r="B34" s="5"/>
      <c r="C34" s="5"/>
      <c r="D34" s="5"/>
      <c r="E34" s="5"/>
      <c r="F34" s="5"/>
      <c r="G34" s="5"/>
    </row>
    <row r="35" customFormat="false" ht="15" hidden="false" customHeight="false" outlineLevel="0" collapsed="false">
      <c r="B35" s="5"/>
      <c r="C35" s="5"/>
      <c r="D35" s="5"/>
      <c r="E35" s="5"/>
      <c r="F35" s="5"/>
      <c r="G35" s="5"/>
    </row>
    <row r="36" customFormat="false" ht="15" hidden="false" customHeight="false" outlineLevel="0" collapsed="false">
      <c r="B36" s="5"/>
      <c r="C36" s="5"/>
      <c r="D36" s="5"/>
      <c r="E36" s="5"/>
      <c r="F36" s="5"/>
      <c r="G36" s="5"/>
    </row>
    <row r="37" customFormat="false" ht="15" hidden="false" customHeight="false" outlineLevel="0" collapsed="false">
      <c r="B37" s="5"/>
      <c r="C37" s="5"/>
      <c r="D37" s="5"/>
      <c r="E37" s="5"/>
      <c r="F37" s="5"/>
      <c r="G37" s="5"/>
    </row>
  </sheetData>
  <mergeCells count="8">
    <mergeCell ref="B2:G2"/>
    <mergeCell ref="B3:G3"/>
    <mergeCell ref="B5:E5"/>
    <mergeCell ref="B17:E17"/>
    <mergeCell ref="B27:G27"/>
    <mergeCell ref="B28:G30"/>
    <mergeCell ref="B32:G32"/>
    <mergeCell ref="B33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2"/>
  </cols>
  <sheetData>
    <row r="1" customFormat="false" ht="32.8" hidden="false" customHeight="true" outlineLevel="0" collapsed="false">
      <c r="A1" s="13" t="s">
        <v>158</v>
      </c>
      <c r="B1" s="13"/>
      <c r="C1" s="13"/>
      <c r="D1" s="13"/>
      <c r="E1" s="13"/>
      <c r="F1" s="13"/>
      <c r="G1" s="13"/>
      <c r="H1" s="13"/>
      <c r="I1" s="13"/>
    </row>
    <row r="2" customFormat="false" ht="15" hidden="false" customHeight="false" outlineLevel="0" collapsed="false">
      <c r="A2" s="24" t="s">
        <v>159</v>
      </c>
      <c r="B2" s="24"/>
      <c r="C2" s="24"/>
      <c r="D2" s="24"/>
      <c r="E2" s="24"/>
      <c r="F2" s="24"/>
      <c r="G2" s="24"/>
      <c r="H2" s="24"/>
      <c r="I2" s="24"/>
    </row>
    <row r="4" customFormat="false" ht="15" hidden="false" customHeight="false" outlineLevel="0" collapsed="false">
      <c r="A4" s="0" t="s">
        <v>160</v>
      </c>
      <c r="B4" s="0" t="s">
        <v>161</v>
      </c>
      <c r="C4" s="30" t="n">
        <f aca="false">03_Time_to_Breach!D8</f>
        <v>1800</v>
      </c>
      <c r="D4" s="9" t="s">
        <v>162</v>
      </c>
      <c r="E4" s="30" t="n">
        <f aca="false">03_Time_to_Breach!D9</f>
        <v>20</v>
      </c>
      <c r="F4" s="9" t="s">
        <v>163</v>
      </c>
      <c r="G4" s="30" t="n">
        <f aca="false">03_Time_to_Breach!D10</f>
        <v>15</v>
      </c>
    </row>
    <row r="6" customFormat="false" ht="15" hidden="false" customHeight="false" outlineLevel="0" collapsed="false">
      <c r="A6" s="33" t="s">
        <v>164</v>
      </c>
      <c r="B6" s="33"/>
      <c r="C6" s="33"/>
      <c r="D6" s="33"/>
      <c r="E6" s="33"/>
      <c r="F6" s="33"/>
      <c r="G6" s="33"/>
      <c r="H6" s="33"/>
      <c r="I6" s="33"/>
    </row>
    <row r="7" customFormat="false" ht="15" hidden="false" customHeight="false" outlineLevel="0" collapsed="false">
      <c r="A7" s="14" t="s">
        <v>165</v>
      </c>
      <c r="B7" s="14" t="n">
        <v>10</v>
      </c>
      <c r="C7" s="14" t="n">
        <v>20</v>
      </c>
      <c r="D7" s="14" t="n">
        <v>50</v>
      </c>
      <c r="E7" s="14" t="n">
        <v>100</v>
      </c>
      <c r="F7" s="14" t="n">
        <v>200</v>
      </c>
      <c r="G7" s="14" t="n">
        <v>500</v>
      </c>
      <c r="H7" s="14" t="n">
        <v>1000</v>
      </c>
    </row>
    <row r="8" customFormat="false" ht="15" hidden="false" customHeight="false" outlineLevel="0" collapsed="false">
      <c r="A8" s="14" t="n">
        <v>1</v>
      </c>
      <c r="B8" s="34" t="n">
        <f aca="false">(2*$C$4*$E$4/(10^(-$A8)*1000*9.81*$G$4))*LN(10)/3600</f>
        <v>0.00312957538973027</v>
      </c>
      <c r="C8" s="34" t="n">
        <f aca="false">(2*$C$4*$E$4/(10^(-$A8)*1000*9.81*$G$4))*LN(20)/3600</f>
        <v>0.00407167145573087</v>
      </c>
      <c r="D8" s="34" t="n">
        <f aca="false">(2*$C$4*$E$4/(10^(-$A8)*1000*9.81*$G$4))*LN(50)/3600</f>
        <v>0.00531705471345993</v>
      </c>
      <c r="E8" s="34" t="n">
        <f aca="false">(2*$C$4*$E$4/(10^(-$A8)*1000*9.81*$G$4))*LN(100)/3600</f>
        <v>0.00625915077946054</v>
      </c>
      <c r="F8" s="34" t="n">
        <f aca="false">(2*$C$4*$E$4/(10^(-$A8)*1000*9.81*$G$4))*LN(200)/3600</f>
        <v>0.00720124684546114</v>
      </c>
      <c r="G8" s="34" t="n">
        <f aca="false">(2*$C$4*$E$4/(10^(-$A8)*1000*9.81*$G$4))*LN(500)/3600</f>
        <v>0.0084466301031902</v>
      </c>
      <c r="H8" s="34" t="n">
        <f aca="false">(2*$C$4*$E$4/(10^(-$A8)*1000*9.81*$G$4))*LN(1000)/3600</f>
        <v>0.00938872616919081</v>
      </c>
    </row>
    <row r="9" customFormat="false" ht="15" hidden="false" customHeight="false" outlineLevel="0" collapsed="false">
      <c r="A9" s="14" t="n">
        <v>2</v>
      </c>
      <c r="B9" s="34" t="n">
        <f aca="false">(2*$C$4*$E$4/(10^(-$A9)*1000*9.81*$G$4))*LN(10)/3600</f>
        <v>0.0312957538973027</v>
      </c>
      <c r="C9" s="34" t="n">
        <f aca="false">(2*$C$4*$E$4/(10^(-$A9)*1000*9.81*$G$4))*LN(20)/3600</f>
        <v>0.0407167145573087</v>
      </c>
      <c r="D9" s="34" t="n">
        <f aca="false">(2*$C$4*$E$4/(10^(-$A9)*1000*9.81*$G$4))*LN(50)/3600</f>
        <v>0.0531705471345993</v>
      </c>
      <c r="E9" s="34" t="n">
        <f aca="false">(2*$C$4*$E$4/(10^(-$A9)*1000*9.81*$G$4))*LN(100)/3600</f>
        <v>0.0625915077946054</v>
      </c>
      <c r="F9" s="34" t="n">
        <f aca="false">(2*$C$4*$E$4/(10^(-$A9)*1000*9.81*$G$4))*LN(200)/3600</f>
        <v>0.0720124684546114</v>
      </c>
      <c r="G9" s="34" t="n">
        <f aca="false">(2*$C$4*$E$4/(10^(-$A9)*1000*9.81*$G$4))*LN(500)/3600</f>
        <v>0.084466301031902</v>
      </c>
      <c r="H9" s="34" t="n">
        <f aca="false">(2*$C$4*$E$4/(10^(-$A9)*1000*9.81*$G$4))*LN(1000)/3600</f>
        <v>0.0938872616919081</v>
      </c>
    </row>
    <row r="10" customFormat="false" ht="15" hidden="false" customHeight="false" outlineLevel="0" collapsed="false">
      <c r="A10" s="14" t="n">
        <v>2.5</v>
      </c>
      <c r="B10" s="34" t="n">
        <f aca="false">(2*$C$4*$E$4/(10^(-$A10)*1000*9.81*$G$4))*LN(10)/3600</f>
        <v>0.0989658634075678</v>
      </c>
      <c r="C10" s="34" t="n">
        <f aca="false">(2*$C$4*$E$4/(10^(-$A10)*1000*9.81*$G$4))*LN(20)/3600</f>
        <v>0.12875755684003</v>
      </c>
      <c r="D10" s="34" t="n">
        <f aca="false">(2*$C$4*$E$4/(10^(-$A10)*1000*9.81*$G$4))*LN(50)/3600</f>
        <v>0.168140033382673</v>
      </c>
      <c r="E10" s="34" t="n">
        <f aca="false">(2*$C$4*$E$4/(10^(-$A10)*1000*9.81*$G$4))*LN(100)/3600</f>
        <v>0.197931726815136</v>
      </c>
      <c r="F10" s="34" t="n">
        <f aca="false">(2*$C$4*$E$4/(10^(-$A10)*1000*9.81*$G$4))*LN(200)/3600</f>
        <v>0.227723420247598</v>
      </c>
      <c r="G10" s="34" t="n">
        <f aca="false">(2*$C$4*$E$4/(10^(-$A10)*1000*9.81*$G$4))*LN(500)/3600</f>
        <v>0.267105896790241</v>
      </c>
      <c r="H10" s="34" t="n">
        <f aca="false">(2*$C$4*$E$4/(10^(-$A10)*1000*9.81*$G$4))*LN(1000)/3600</f>
        <v>0.296897590222703</v>
      </c>
    </row>
    <row r="11" customFormat="false" ht="15" hidden="false" customHeight="false" outlineLevel="0" collapsed="false">
      <c r="A11" s="14" t="n">
        <v>3</v>
      </c>
      <c r="B11" s="34" t="n">
        <f aca="false">(2*$C$4*$E$4/(10^(-$A11)*1000*9.81*$G$4))*LN(10)/3600</f>
        <v>0.312957538973027</v>
      </c>
      <c r="C11" s="34" t="n">
        <f aca="false">(2*$C$4*$E$4/(10^(-$A11)*1000*9.81*$G$4))*LN(20)/3600</f>
        <v>0.407167145573087</v>
      </c>
      <c r="D11" s="34" t="n">
        <f aca="false">(2*$C$4*$E$4/(10^(-$A11)*1000*9.81*$G$4))*LN(50)/3600</f>
        <v>0.531705471345993</v>
      </c>
      <c r="E11" s="34" t="n">
        <f aca="false">(2*$C$4*$E$4/(10^(-$A11)*1000*9.81*$G$4))*LN(100)/3600</f>
        <v>0.625915077946054</v>
      </c>
      <c r="F11" s="34" t="n">
        <f aca="false">(2*$C$4*$E$4/(10^(-$A11)*1000*9.81*$G$4))*LN(200)/3600</f>
        <v>0.720124684546114</v>
      </c>
      <c r="G11" s="34" t="n">
        <f aca="false">(2*$C$4*$E$4/(10^(-$A11)*1000*9.81*$G$4))*LN(500)/3600</f>
        <v>0.84466301031902</v>
      </c>
      <c r="H11" s="34" t="n">
        <f aca="false">(2*$C$4*$E$4/(10^(-$A11)*1000*9.81*$G$4))*LN(1000)/3600</f>
        <v>0.938872616919081</v>
      </c>
    </row>
    <row r="12" customFormat="false" ht="15" hidden="false" customHeight="false" outlineLevel="0" collapsed="false">
      <c r="A12" s="14" t="n">
        <v>3.5</v>
      </c>
      <c r="B12" s="34" t="n">
        <f aca="false">(2*$C$4*$E$4/(10^(-$A12)*1000*9.81*$G$4))*LN(10)/3600</f>
        <v>0.989658634075678</v>
      </c>
      <c r="C12" s="34" t="n">
        <f aca="false">(2*$C$4*$E$4/(10^(-$A12)*1000*9.81*$G$4))*LN(20)/3600</f>
        <v>1.2875755684003</v>
      </c>
      <c r="D12" s="34" t="n">
        <f aca="false">(2*$C$4*$E$4/(10^(-$A12)*1000*9.81*$G$4))*LN(50)/3600</f>
        <v>1.68140033382673</v>
      </c>
      <c r="E12" s="34" t="n">
        <f aca="false">(2*$C$4*$E$4/(10^(-$A12)*1000*9.81*$G$4))*LN(100)/3600</f>
        <v>1.97931726815136</v>
      </c>
      <c r="F12" s="34" t="n">
        <f aca="false">(2*$C$4*$E$4/(10^(-$A12)*1000*9.81*$G$4))*LN(200)/3600</f>
        <v>2.27723420247598</v>
      </c>
      <c r="G12" s="34" t="n">
        <f aca="false">(2*$C$4*$E$4/(10^(-$A12)*1000*9.81*$G$4))*LN(500)/3600</f>
        <v>2.67105896790241</v>
      </c>
      <c r="H12" s="34" t="n">
        <f aca="false">(2*$C$4*$E$4/(10^(-$A12)*1000*9.81*$G$4))*LN(1000)/3600</f>
        <v>2.96897590222703</v>
      </c>
    </row>
    <row r="13" customFormat="false" ht="15" hidden="false" customHeight="false" outlineLevel="0" collapsed="false">
      <c r="A13" s="14" t="n">
        <v>4</v>
      </c>
      <c r="B13" s="34" t="n">
        <f aca="false">(2*$C$4*$E$4/(10^(-$A13)*1000*9.81*$G$4))*LN(10)/3600</f>
        <v>3.12957538973027</v>
      </c>
      <c r="C13" s="34" t="n">
        <f aca="false">(2*$C$4*$E$4/(10^(-$A13)*1000*9.81*$G$4))*LN(20)/3600</f>
        <v>4.07167145573087</v>
      </c>
      <c r="D13" s="34" t="n">
        <f aca="false">(2*$C$4*$E$4/(10^(-$A13)*1000*9.81*$G$4))*LN(50)/3600</f>
        <v>5.31705471345993</v>
      </c>
      <c r="E13" s="34" t="n">
        <f aca="false">(2*$C$4*$E$4/(10^(-$A13)*1000*9.81*$G$4))*LN(100)/3600</f>
        <v>6.25915077946054</v>
      </c>
      <c r="F13" s="34" t="n">
        <f aca="false">(2*$C$4*$E$4/(10^(-$A13)*1000*9.81*$G$4))*LN(200)/3600</f>
        <v>7.20124684546114</v>
      </c>
      <c r="G13" s="34" t="n">
        <f aca="false">(2*$C$4*$E$4/(10^(-$A13)*1000*9.81*$G$4))*LN(500)/3600</f>
        <v>8.4466301031902</v>
      </c>
      <c r="H13" s="34" t="n">
        <f aca="false">(2*$C$4*$E$4/(10^(-$A13)*1000*9.81*$G$4))*LN(1000)/3600</f>
        <v>9.38872616919081</v>
      </c>
    </row>
    <row r="14" customFormat="false" ht="15" hidden="false" customHeight="false" outlineLevel="0" collapsed="false">
      <c r="A14" s="14" t="n">
        <v>5</v>
      </c>
      <c r="B14" s="34" t="n">
        <f aca="false">(2*$C$4*$E$4/(10^(-$A14)*1000*9.81*$G$4))*LN(10)/3600</f>
        <v>31.2957538973027</v>
      </c>
      <c r="C14" s="34" t="n">
        <f aca="false">(2*$C$4*$E$4/(10^(-$A14)*1000*9.81*$G$4))*LN(20)/3600</f>
        <v>40.7167145573087</v>
      </c>
      <c r="D14" s="34" t="n">
        <f aca="false">(2*$C$4*$E$4/(10^(-$A14)*1000*9.81*$G$4))*LN(50)/3600</f>
        <v>53.1705471345993</v>
      </c>
      <c r="E14" s="34" t="n">
        <f aca="false">(2*$C$4*$E$4/(10^(-$A14)*1000*9.81*$G$4))*LN(100)/3600</f>
        <v>62.5915077946054</v>
      </c>
      <c r="F14" s="34" t="n">
        <f aca="false">(2*$C$4*$E$4/(10^(-$A14)*1000*9.81*$G$4))*LN(200)/3600</f>
        <v>72.0124684546114</v>
      </c>
      <c r="G14" s="34" t="n">
        <f aca="false">(2*$C$4*$E$4/(10^(-$A14)*1000*9.81*$G$4))*LN(500)/3600</f>
        <v>84.466301031902</v>
      </c>
      <c r="H14" s="34" t="n">
        <f aca="false">(2*$C$4*$E$4/(10^(-$A14)*1000*9.81*$G$4))*LN(1000)/3600</f>
        <v>93.8872616919081</v>
      </c>
    </row>
    <row r="15" customFormat="false" ht="15" hidden="false" customHeight="false" outlineLevel="0" collapsed="false">
      <c r="A15" s="14" t="n">
        <v>6</v>
      </c>
      <c r="B15" s="34" t="n">
        <f aca="false">(2*$C$4*$E$4/(10^(-$A15)*1000*9.81*$G$4))*LN(10)/3600</f>
        <v>312.957538973027</v>
      </c>
      <c r="C15" s="34" t="n">
        <f aca="false">(2*$C$4*$E$4/(10^(-$A15)*1000*9.81*$G$4))*LN(20)/3600</f>
        <v>407.167145573087</v>
      </c>
      <c r="D15" s="34" t="n">
        <f aca="false">(2*$C$4*$E$4/(10^(-$A15)*1000*9.81*$G$4))*LN(50)/3600</f>
        <v>531.705471345993</v>
      </c>
      <c r="E15" s="34" t="n">
        <f aca="false">(2*$C$4*$E$4/(10^(-$A15)*1000*9.81*$G$4))*LN(100)/3600</f>
        <v>625.915077946054</v>
      </c>
      <c r="F15" s="34" t="n">
        <f aca="false">(2*$C$4*$E$4/(10^(-$A15)*1000*9.81*$G$4))*LN(200)/3600</f>
        <v>720.124684546114</v>
      </c>
      <c r="G15" s="34" t="n">
        <f aca="false">(2*$C$4*$E$4/(10^(-$A15)*1000*9.81*$G$4))*LN(500)/3600</f>
        <v>844.66301031902</v>
      </c>
      <c r="H15" s="34" t="n">
        <f aca="false">(2*$C$4*$E$4/(10^(-$A15)*1000*9.81*$G$4))*LN(1000)/3600</f>
        <v>938.872616919081</v>
      </c>
    </row>
    <row r="17" customFormat="false" ht="15" hidden="false" customHeight="true" outlineLevel="0" collapsed="false">
      <c r="A17" s="5" t="s">
        <v>166</v>
      </c>
      <c r="B17" s="5"/>
      <c r="C17" s="5"/>
      <c r="D17" s="5"/>
      <c r="E17" s="5"/>
      <c r="F17" s="5"/>
      <c r="G17" s="5"/>
      <c r="H17" s="5"/>
      <c r="I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5"/>
    </row>
  </sheetData>
  <mergeCells count="4">
    <mergeCell ref="A1:I1"/>
    <mergeCell ref="A2:I2"/>
    <mergeCell ref="A6:I6"/>
    <mergeCell ref="A17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0"/>
    <col collapsed="false" customWidth="true" hidden="false" outlineLevel="0" max="4" min="3" style="0" width="20"/>
  </cols>
  <sheetData>
    <row r="2" customFormat="false" ht="32.8" hidden="false" customHeight="true" outlineLevel="0" collapsed="false">
      <c r="B2" s="13" t="s">
        <v>167</v>
      </c>
      <c r="C2" s="13"/>
      <c r="D2" s="13"/>
    </row>
    <row r="4" customFormat="false" ht="15" hidden="false" customHeight="true" outlineLevel="0" collapsed="false">
      <c r="B4" s="5" t="s">
        <v>168</v>
      </c>
      <c r="C4" s="5"/>
      <c r="D4" s="5"/>
    </row>
    <row r="5" customFormat="false" ht="15" hidden="false" customHeight="false" outlineLevel="0" collapsed="false">
      <c r="B5" s="5"/>
      <c r="C5" s="5"/>
      <c r="D5" s="5"/>
    </row>
    <row r="6" customFormat="false" ht="15" hidden="false" customHeight="false" outlineLevel="0" collapsed="false">
      <c r="B6" s="5"/>
      <c r="C6" s="5"/>
      <c r="D6" s="5"/>
    </row>
    <row r="7" customFormat="false" ht="15" hidden="false" customHeight="false" outlineLevel="0" collapsed="false">
      <c r="B7" s="5"/>
      <c r="C7" s="5"/>
      <c r="D7" s="5"/>
    </row>
    <row r="8" customFormat="false" ht="15" hidden="false" customHeight="false" outlineLevel="0" collapsed="false">
      <c r="B8" s="5"/>
      <c r="C8" s="5"/>
      <c r="D8" s="5"/>
    </row>
    <row r="10" customFormat="false" ht="15" hidden="false" customHeight="true" outlineLevel="0" collapsed="false">
      <c r="B10" s="4" t="s">
        <v>169</v>
      </c>
      <c r="C10" s="4"/>
      <c r="D10" s="4"/>
    </row>
    <row r="11" customFormat="false" ht="15" hidden="false" customHeight="true" outlineLevel="0" collapsed="false">
      <c r="B11" s="35" t="s">
        <v>170</v>
      </c>
      <c r="C11" s="35"/>
      <c r="D11" s="35"/>
    </row>
    <row r="12" customFormat="false" ht="15" hidden="false" customHeight="false" outlineLevel="0" collapsed="false">
      <c r="B12" s="35"/>
      <c r="C12" s="35"/>
      <c r="D12" s="35"/>
    </row>
    <row r="13" customFormat="false" ht="15" hidden="false" customHeight="false" outlineLevel="0" collapsed="false">
      <c r="B13" s="35"/>
      <c r="C13" s="35"/>
      <c r="D13" s="35"/>
    </row>
    <row r="14" customFormat="false" ht="15" hidden="false" customHeight="false" outlineLevel="0" collapsed="false">
      <c r="B14" s="35"/>
      <c r="C14" s="35"/>
      <c r="D14" s="35"/>
    </row>
  </sheetData>
  <mergeCells count="4">
    <mergeCell ref="B2:D2"/>
    <mergeCell ref="B4:D8"/>
    <mergeCell ref="B10:D10"/>
    <mergeCell ref="B11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2026-08-26T05:55:22Z</dcterms:created>
  <dc:creator>openpyxl</dc:creator>
  <dc:description/>
  <dc:language>en-US</dc:language>
  <cp:lastModifiedBy/>
  <dcterms:modified xsi:type="dcterms:W3CDTF">2026-08-26T05:55:22Z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