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over" sheetId="1" state="visible" r:id="rId3"/>
    <sheet name="01_Parameter_Definitions" sheetId="2" state="visible" r:id="rId4"/>
    <sheet name="02_Reservoir_Stage_Storage" sheetId="3" state="visible" r:id="rId5"/>
    <sheet name="03_Breach_Characteristics" sheetId="4" state="visible" r:id="rId6"/>
    <sheet name="04_Constrained_Breach" sheetId="5" state="visible" r:id="rId7"/>
    <sheet name="05_Timestep_Hydrograph" sheetId="6" state="visible" r:id="rId8"/>
    <sheet name="06_Dimensionless_Hydrograph" sheetId="7" state="visible" r:id="rId9"/>
    <sheet name="07_Downstream_Floo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<sst xmlns="http://schemas.openxmlformats.org/spreadsheetml/2006/main" count="737" uniqueCount="488">
  <si>
    <t xml:space="preserve">DAM BREACH COMPUTATIONAL TOOL</t>
  </si>
  <si>
    <t xml:space="preserve">Earthfill Dam Breach Characteristics, Hydrographs &amp; Downstream Flood Routing</t>
  </si>
  <si>
    <t xml:space="preserve">Version 1.0  |  Metric Units  |  Based on Washington State Dam Safety Technical Note 1 (2007) &amp; related methodologies</t>
  </si>
  <si>
    <t xml:space="preserve">PROJECT INFORMATION</t>
  </si>
  <si>
    <t xml:space="preserve">Dam Name / Owner:</t>
  </si>
  <si>
    <t xml:space="preserve">Dam Safety File No.:</t>
  </si>
  <si>
    <t xml:space="preserve">Prepared by:</t>
  </si>
  <si>
    <t xml:space="preserve">Date:</t>
  </si>
  <si>
    <t xml:space="preserve">Checked by:</t>
  </si>
  <si>
    <t xml:space="preserve">Revision:</t>
  </si>
  <si>
    <t xml:space="preserve">1.0</t>
  </si>
  <si>
    <t xml:space="preserve">MODULE INDEX &amp; WORKFLOW</t>
  </si>
  <si>
    <t xml:space="preserve">Sheet</t>
  </si>
  <si>
    <t xml:space="preserve">Module</t>
  </si>
  <si>
    <t xml:space="preserve">Description</t>
  </si>
  <si>
    <t xml:space="preserve">Primary Inputs</t>
  </si>
  <si>
    <t xml:space="preserve">Key Outputs</t>
  </si>
  <si>
    <t xml:space="preserve">01_Parameter_Definitions</t>
  </si>
  <si>
    <t xml:space="preserve">Parameter Catalogue &amp; Schematics</t>
  </si>
  <si>
    <t xml:space="preserve">Detailed definitions, units, typical ranges, governing equations and schematic diagrams for every parameter used in the tool.</t>
  </si>
  <si>
    <t xml:space="preserve">—</t>
  </si>
  <si>
    <t xml:space="preserve">Reference only</t>
  </si>
  <si>
    <t xml:space="preserve">02_Reservoir_Stage_Storage</t>
  </si>
  <si>
    <t xml:space="preserve">Reservoir Geometry (SurfArea)</t>
  </si>
  <si>
    <t xml:space="preserve">Stage–surface area–storage relationship. Calibrates power-function approximation from known pool data.</t>
  </si>
  <si>
    <t xml:space="preserve">Normal pool y, A, V; crest elev.</t>
  </si>
  <si>
    <t xml:space="preserve">Stage-Storage table, Ao, k, m</t>
  </si>
  <si>
    <t xml:space="preserve">03_Breach_Characteristics</t>
  </si>
  <si>
    <t xml:space="preserve">Breach Geometry &amp; Peak Discharge (Break-1)</t>
  </si>
  <si>
    <t xml:space="preserve">Breach Formation Factor method for cohesionless/resistant materials. Piping and Overtopping scenarios.</t>
  </si>
  <si>
    <t xml:space="preserve">Hb, Hw, Vw, Sa, C, Z1, Z2, Zb, erosion factors</t>
  </si>
  <si>
    <t xml:space="preserve">Wb, Wavg, Wcr, t, Qp (mod. weir &amp; Froehlich)</t>
  </si>
  <si>
    <t xml:space="preserve">04_Constrained_Breach</t>
  </si>
  <si>
    <t xml:space="preserve">Width-Constrained Breach (Break-2)</t>
  </si>
  <si>
    <t xml:space="preserve">When physical setting or crest length limits breach width. User specifies Wb within upper-limit Vm.</t>
  </si>
  <si>
    <t xml:space="preserve">Wb (user), Hb, Hw, Vw, Sa, Zb</t>
  </si>
  <si>
    <t xml:space="preserve">Vm check, Wavg, t, Qp</t>
  </si>
  <si>
    <t xml:space="preserve">05_Timestep_Hydrograph</t>
  </si>
  <si>
    <t xml:space="preserve">Time-Step Breach Hydrograph (Break-3)</t>
  </si>
  <si>
    <t xml:space="preserve">HEC-1 style progressive breach development. Computes full outflow hydrograph by time stepping.</t>
  </si>
  <si>
    <t xml:space="preserve">Wb, T.Fail, Zb, stage-storage, Qin</t>
  </si>
  <si>
    <t xml:space="preserve">Full Q(t) hydrograph, Qp, T.Peak, T.Base</t>
  </si>
  <si>
    <t xml:space="preserve">06_Dimensionless_Hydrograph</t>
  </si>
  <si>
    <t xml:space="preserve">Dimensionless Hydrograph (Break-5)</t>
  </si>
  <si>
    <t xml:space="preserve">Haan et al. dimensionless hydrograph scaled to reservoir volume + inflow. Suitable for larger reservoirs.</t>
  </si>
  <si>
    <t xml:space="preserve">Q.Peak, T.Peak, Vol, K</t>
  </si>
  <si>
    <t xml:space="preserve">Full dimensionless Q(t) table</t>
  </si>
  <si>
    <t xml:space="preserve">07_Downstream_Flood</t>
  </si>
  <si>
    <t xml:space="preserve">Flood Attenuation &amp; Travel Time (Flood-1)</t>
  </si>
  <si>
    <t xml:space="preserve">Hydraulic profile of valley, peak attenuation estimation, flood-wave travel time window.</t>
  </si>
  <si>
    <t xml:space="preserve">Qp, valley profile, channel type</t>
  </si>
  <si>
    <t xml:space="preserve">Qx/Qp, Qx, Vw, travel time min/max</t>
  </si>
  <si>
    <t xml:space="preserve">COLOUR CODING (consistent with Impulse Wave Tool convention)</t>
  </si>
  <si>
    <t xml:space="preserve">Colour</t>
  </si>
  <si>
    <t xml:space="preserve">Meaning</t>
  </si>
  <si>
    <t xml:space="preserve">Usage</t>
  </si>
  <si>
    <t xml:space="preserve">Yellow background + Blue text</t>
  </si>
  <si>
    <t xml:space="preserve">User input required – enter value here</t>
  </si>
  <si>
    <t xml:space="preserve">Light green background + Black text</t>
  </si>
  <si>
    <t xml:space="preserve">Calculated result (formula driven)</t>
  </si>
  <si>
    <t xml:space="preserve">Light blue background + Green text</t>
  </si>
  <si>
    <t xml:space="preserve">Value linked from another sheet</t>
  </si>
  <si>
    <t xml:space="preserve">Green background</t>
  </si>
  <si>
    <t xml:space="preserve">Parameter within validated limitation range</t>
  </si>
  <si>
    <t xml:space="preserve">Red / pink background</t>
  </si>
  <si>
    <t xml:space="preserve">Parameter outside validated limitation range – caution</t>
  </si>
  <si>
    <t xml:space="preserve">Orange background</t>
  </si>
  <si>
    <t xml:space="preserve">Limitation / applicability range table</t>
  </si>
  <si>
    <t xml:space="preserve">Light blue section header</t>
  </si>
  <si>
    <t xml:space="preserve">Section divider</t>
  </si>
  <si>
    <t xml:space="preserve">IMPORTANT NOTES &amp; DISCLAIMER</t>
  </si>
  <si>
    <t xml:space="preserve">1. This workbook is intended for use by Professional Engineers only, or by junior engineers under the supervision of a Professional Engineer.</t>
  </si>
  <si>
    <t xml:space="preserve">2. Engineers using this spreadsheet must ensure that the calculations are correctly applied to their specific project. Dam owners and design engineers retain full responsibility for the safety of their structures.</t>
  </si>
  <si>
    <t xml:space="preserve">3. Methodology follows Washington State Department of Ecology Dam Safety Office Technical Note 1 (2007) and related guidance (Break-1/2/3/5, Flood-1, SurfArea).</t>
  </si>
  <si>
    <t xml:space="preserve">4. Always verify that input parameters lie within the stated limitation ranges. Extrapolation outside validated ranges requires engineering judgement and additional verification.</t>
  </si>
  <si>
    <t xml:space="preserve">5. Cross-sheet links are shown in green text on light-blue background. Changing an upstream input automatically updates downstream calculations after recalculation.</t>
  </si>
  <si>
    <t xml:space="preserve">6. Schematics on sheet 01 illustrate the geometric meaning of every parameter appearing in the governing equations.</t>
  </si>
  <si>
    <t xml:space="preserve">7. All calculations are in metric (SI) units unless otherwise noted. Conversion factors are provided where legacy US-unit equations are used internally.</t>
  </si>
  <si>
    <t xml:space="preserve">PARAMETER DEFINITIONS, UNITS, RANGES &amp; SCHEMATIC REPRESENTATIONS</t>
  </si>
  <si>
    <t xml:space="preserve">Every parameter used in the governing equations is defined below. Schematics show geometric meaning relative to the dam and reservoir.</t>
  </si>
  <si>
    <t xml:space="preserve">A. RESERVOIR &amp; WATER SURFACE PARAMETERS</t>
  </si>
  <si>
    <t xml:space="preserve">Symbol</t>
  </si>
  <si>
    <t xml:space="preserve">Unit</t>
  </si>
  <si>
    <t xml:space="preserve">Typical Range</t>
  </si>
  <si>
    <t xml:space="preserve">Definition / Physical Meaning</t>
  </si>
  <si>
    <t xml:space="preserve">Appears in Equation(s)</t>
  </si>
  <si>
    <t xml:space="preserve">Schematic Note</t>
  </si>
  <si>
    <t xml:space="preserve">y</t>
  </si>
  <si>
    <t xml:space="preserve">m</t>
  </si>
  <si>
    <t xml:space="preserve">0 – Hb</t>
  </si>
  <si>
    <t xml:space="preserve">Water depth above reservoir base elevation at a given stage. Used to define stage-storage curve.</t>
  </si>
  <si>
    <t xml:space="preserve">V = Ao·y + k·y^m ; A = Ao + m·k·y^(m-1)</t>
  </si>
  <si>
    <t xml:space="preserve">Vertical distance from base to WL</t>
  </si>
  <si>
    <t xml:space="preserve">WL</t>
  </si>
  <si>
    <t xml:space="preserve">Water surface elevation (absolute). WL = base elev. + y.</t>
  </si>
  <si>
    <t xml:space="preserve">Head H = WL – BL</t>
  </si>
  <si>
    <t xml:space="preserve">Horizontal free surface line</t>
  </si>
  <si>
    <t xml:space="preserve">Vw / Vol</t>
  </si>
  <si>
    <t xml:space="preserve">m³</t>
  </si>
  <si>
    <t xml:space="preserve">project specific</t>
  </si>
  <si>
    <t xml:space="preserve">Volume of water in reservoir at the time of breach initiation (or volume to be released).</t>
  </si>
  <si>
    <t xml:space="preserve">BFF = Vw · Hw ; T.Base = 2·(Vw+Qin)/Qp</t>
  </si>
  <si>
    <t xml:space="preserve">Area under stage-storage curve up to Hw</t>
  </si>
  <si>
    <t xml:space="preserve">Sa / A</t>
  </si>
  <si>
    <t xml:space="preserve">ha or m²</t>
  </si>
  <si>
    <t xml:space="preserve">Reservoir surface area at the water surface elevation corresponding to Hw (or current WL).</t>
  </si>
  <si>
    <t xml:space="preserve">A = 23.4·Sa / Wavg (US units internal); dWL = dVol / Sa</t>
  </si>
  <si>
    <t xml:space="preserve">Plan-view water surface area</t>
  </si>
  <si>
    <t xml:space="preserve">Qin</t>
  </si>
  <si>
    <t xml:space="preserve">m³/s</t>
  </si>
  <si>
    <t xml:space="preserve">≥ 0</t>
  </si>
  <si>
    <t xml:space="preserve">Average inflow rate into the reservoir during the breach development period.</t>
  </si>
  <si>
    <t xml:space="preserve">Vol.Inflow = Qin · t ; hydrograph volume balance</t>
  </si>
  <si>
    <t xml:space="preserve">Arrow into reservoir from upstream</t>
  </si>
  <si>
    <t xml:space="preserve">f</t>
  </si>
  <si>
    <t xml:space="preserve">Freeboard = dam crest elevation – water surface elevation (positive when WL below crest).</t>
  </si>
  <si>
    <t xml:space="preserve">Used in overtopping initiation checks</t>
  </si>
  <si>
    <t xml:space="preserve">Vertical distance crest → WL</t>
  </si>
  <si>
    <t xml:space="preserve">B. DAM GEOMETRY PARAMETERS</t>
  </si>
  <si>
    <t xml:space="preserve">Hb</t>
  </si>
  <si>
    <t xml:space="preserve">Height (depth) of breach = Dam crest elevation – Breach base elevation (BL). Full structural height if breach reaches foundation.</t>
  </si>
  <si>
    <t xml:space="preserve">K1 = Hb·[C + (Hb·Z3)/2] ; K2 = Hb²·[(C·Zb)+(Hb·Zb·Z3)/3]</t>
  </si>
  <si>
    <t xml:space="preserve">Vertical distance crest → breach invert</t>
  </si>
  <si>
    <t xml:space="preserve">Hw</t>
  </si>
  <si>
    <t xml:space="preserve">≤ Hb</t>
  </si>
  <si>
    <t xml:space="preserve">Height of water above breach base elevation at failure. For overtopping Hw ≈ Hb; for piping Hw &lt; Hb.</t>
  </si>
  <si>
    <t xml:space="preserve">BFF = Vw · Hw ; Qp ∝ Hw^1.5 or Hw^1.24</t>
  </si>
  <si>
    <t xml:space="preserve">Vertical distance WL → breach invert</t>
  </si>
  <si>
    <t xml:space="preserve">C</t>
  </si>
  <si>
    <t xml:space="preserve">typically 3–10 m</t>
  </si>
  <si>
    <t xml:space="preserve">Crest width of the dam (horizontal distance between upstream and downstream crest edges).</t>
  </si>
  <si>
    <t xml:space="preserve">K1, K2 volume integrals</t>
  </si>
  <si>
    <t xml:space="preserve">Horizontal top width of dam section</t>
  </si>
  <si>
    <t xml:space="preserve">Z1</t>
  </si>
  <si>
    <t xml:space="preserve">H:1V</t>
  </si>
  <si>
    <t xml:space="preserve">typically 2–4</t>
  </si>
  <si>
    <t xml:space="preserve">Slope of upstream face of dam (horizontal:vertical).</t>
  </si>
  <si>
    <t xml:space="preserve">Z3 = Z1 + Z2</t>
  </si>
  <si>
    <t xml:space="preserve">Upstream embankment slope</t>
  </si>
  <si>
    <t xml:space="preserve">Z2</t>
  </si>
  <si>
    <t xml:space="preserve">typically 2–3</t>
  </si>
  <si>
    <t xml:space="preserve">Slope of downstream face of dam (horizontal:vertical).</t>
  </si>
  <si>
    <t xml:space="preserve">Downstream embankment slope</t>
  </si>
  <si>
    <t xml:space="preserve">Z3</t>
  </si>
  <si>
    <t xml:space="preserve">Z1+Z2</t>
  </si>
  <si>
    <t xml:space="preserve">Sum of upstream and downstream face slopes. Used in eroded-volume calculation.</t>
  </si>
  <si>
    <t xml:space="preserve">K1, K2</t>
  </si>
  <si>
    <t xml:space="preserve">Combined face slope factor</t>
  </si>
  <si>
    <t xml:space="preserve">Crest Length</t>
  </si>
  <si>
    <t xml:space="preserve">Total length of dam crest (across the valley). Used to compute % of crest breached.</t>
  </si>
  <si>
    <t xml:space="preserve">Breach % = Wcr / Crest Length × 100</t>
  </si>
  <si>
    <t xml:space="preserve">Plan length of dam</t>
  </si>
  <si>
    <t xml:space="preserve">BL</t>
  </si>
  <si>
    <t xml:space="preserve">usually 0 (foundation)</t>
  </si>
  <si>
    <t xml:space="preserve">Breach base (invert) elevation. Usually set at foundation or selected piping elevation.</t>
  </si>
  <si>
    <t xml:space="preserve">H = WL – BL ; Db = Crest – BL</t>
  </si>
  <si>
    <t xml:space="preserve">Horizontal line at breach invert</t>
  </si>
  <si>
    <t xml:space="preserve">C. BREACH GEOMETRY PARAMETERS (see Schematic on right / below)</t>
  </si>
  <si>
    <t xml:space="preserve">Wb</t>
  </si>
  <si>
    <t xml:space="preserve">0.5–3 × Hb typical</t>
  </si>
  <si>
    <t xml:space="preserve">Base (bottom) width of the trapezoidal breach. Calculated from eroded volume or user-specified when constrained.</t>
  </si>
  <si>
    <t xml:space="preserve">27·Vm = Wb·K1 + K2 ; Wavg = Wb + Zb·Hw</t>
  </si>
  <si>
    <t xml:space="preserve">Bottom width of breach opening</t>
  </si>
  <si>
    <t xml:space="preserve">Wavg</t>
  </si>
  <si>
    <t xml:space="preserve">Average width of flow through the breach (at the water surface during peak).</t>
  </si>
  <si>
    <t xml:space="preserve">Qp = 3.1 · Wavg · Hw^1.5 · K3³ (US units)</t>
  </si>
  <si>
    <t xml:space="preserve">Width at mid-depth of flow</t>
  </si>
  <si>
    <t xml:space="preserve">Wtop</t>
  </si>
  <si>
    <t xml:space="preserve">Top width of the flowing water surface inside the breach.</t>
  </si>
  <si>
    <t xml:space="preserve">Wtop = Wb + 2·Zb·Hw</t>
  </si>
  <si>
    <t xml:space="preserve">Water-surface width in breach</t>
  </si>
  <si>
    <t xml:space="preserve">Wcr</t>
  </si>
  <si>
    <t xml:space="preserve">Top width of the breach at dam crest level.</t>
  </si>
  <si>
    <t xml:space="preserve">Wcr = Wb + 2·Zb·Hb</t>
  </si>
  <si>
    <t xml:space="preserve">Crest-level breach width</t>
  </si>
  <si>
    <t xml:space="preserve">Zb</t>
  </si>
  <si>
    <t xml:space="preserve">0.25–1.0 typical</t>
  </si>
  <si>
    <t xml:space="preserve">Side slope of the breach (horizontal:vertical). Cohesionless ≈ 0.5–1; resistant ≈ 0.25–0.5.</t>
  </si>
  <si>
    <t xml:space="preserve">All width &amp; volume equations</t>
  </si>
  <si>
    <t xml:space="preserve">Batter of breach sidewalls</t>
  </si>
  <si>
    <t xml:space="preserve">Vm</t>
  </si>
  <si>
    <t xml:space="preserve">m³ or yd³</t>
  </si>
  <si>
    <t xml:space="preserve">from BFF</t>
  </si>
  <si>
    <t xml:space="preserve">Volume of dam material eroded to form the final breach. Function of BFF and material type.</t>
  </si>
  <si>
    <t xml:space="preserve">Vm = 3.75·BFF^0.77 (cohesionless, US) or 2.50·BFF^0.77 (resistant)</t>
  </si>
  <si>
    <t xml:space="preserve">Eroded embankment prism</t>
  </si>
  <si>
    <t xml:space="preserve">BFF</t>
  </si>
  <si>
    <t xml:space="preserve">— (US units)</t>
  </si>
  <si>
    <t xml:space="preserve">Breach Formation Factor = Vw · Hw (both in US customary units for the regression).</t>
  </si>
  <si>
    <t xml:space="preserve">Vm = f(BFF)</t>
  </si>
  <si>
    <t xml:space="preserve">Product of volume and head</t>
  </si>
  <si>
    <t xml:space="preserve">t / T.Fail</t>
  </si>
  <si>
    <t xml:space="preserve">hr or min</t>
  </si>
  <si>
    <t xml:space="preserve">0.1–4 hr typical</t>
  </si>
  <si>
    <t xml:space="preserve">Time for full breach development (from initiation to final geometry).</t>
  </si>
  <si>
    <t xml:space="preserve">t = 0.020·Vm^0.36 (cohesionless) or 0.036·Vm^0.36 (resistant)</t>
  </si>
  <si>
    <t xml:space="preserve">Duration of progressive erosion</t>
  </si>
  <si>
    <t xml:space="preserve">D. DISCHARGE, HYDROGRAPH &amp; ROUTING PARAMETERS</t>
  </si>
  <si>
    <t xml:space="preserve">Qp</t>
  </si>
  <si>
    <t xml:space="preserve">Peak breach outflow discharge. Computed by modified weir equation or Froehlich regression.</t>
  </si>
  <si>
    <t xml:space="preserve">Qp = 3.1·Wavg·Hw^1.5·K3³ ; Qp = 40.1·Vw^0.295·Hw^1.24 (US)</t>
  </si>
  <si>
    <t xml:space="preserve">Maximum of outflow hydrograph</t>
  </si>
  <si>
    <t xml:space="preserve">K3</t>
  </si>
  <si>
    <t xml:space="preserve">0–1</t>
  </si>
  <si>
    <t xml:space="preserve">Storage attenuation factor for the modified weir equation. Accounts for reservoir drawdown during breach formation.</t>
  </si>
  <si>
    <t xml:space="preserve">K3 = A / (A + t·√Hw)</t>
  </si>
  <si>
    <t xml:space="preserve">Reduction factor on weir discharge</t>
  </si>
  <si>
    <t xml:space="preserve">T.Peak</t>
  </si>
  <si>
    <t xml:space="preserve">hr</t>
  </si>
  <si>
    <t xml:space="preserve">≈ t or from timestep</t>
  </si>
  <si>
    <t xml:space="preserve">Time from breach initiation to peak discharge.</t>
  </si>
  <si>
    <t xml:space="preserve">Used to construct triangular or dimensionless hydrograph</t>
  </si>
  <si>
    <t xml:space="preserve">Time coordinate of Qp</t>
  </si>
  <si>
    <t xml:space="preserve">T.Base</t>
  </si>
  <si>
    <t xml:space="preserve">Total duration of the outflow hydrograph (time to empty reservoir + inflows).</t>
  </si>
  <si>
    <t xml:space="preserve">T.Base = 2·(Vw + Vol.Inflow) / Qp</t>
  </si>
  <si>
    <t xml:space="preserve">Base of triangular hydrograph</t>
  </si>
  <si>
    <t xml:space="preserve">K (dimless)</t>
  </si>
  <si>
    <t xml:space="preserve">1.5–5.0 typical</t>
  </si>
  <si>
    <t xml:space="preserve">Shape factor for the dimensionless hydrograph of Haan et al.</t>
  </si>
  <si>
    <t xml:space="preserve">Q(t)/Qp = [ (t/Tp)·exp(1 – t/Tp) ]^K</t>
  </si>
  <si>
    <t xml:space="preserve">Controls hydrograph peakedness</t>
  </si>
  <si>
    <t xml:space="preserve">Qx</t>
  </si>
  <si>
    <t xml:space="preserve">≤ Qp</t>
  </si>
  <si>
    <t xml:space="preserve">Attenuated peak discharge at a downstream distance x.</t>
  </si>
  <si>
    <t xml:space="preserve">Qx/Qp from attenuation curves or engineering judgement</t>
  </si>
  <si>
    <t xml:space="preserve">Peak at downstream station</t>
  </si>
  <si>
    <t xml:space="preserve">Vw (wave)</t>
  </si>
  <si>
    <t xml:space="preserve">m/s</t>
  </si>
  <si>
    <t xml:space="preserve">≈ 1.0–1.5 × V</t>
  </si>
  <si>
    <t xml:space="preserve">Flood-wave celerity (propagation speed of the breach flood wave).</t>
  </si>
  <si>
    <t xml:space="preserve">Travel time = distance / Vw</t>
  </si>
  <si>
    <t xml:space="preserve">Speed of flood front</t>
  </si>
  <si>
    <t xml:space="preserve">E. SCHEMATIC DIAGRAMS OF KEY PARAMETERS (textual representation of geometry used in equations)</t>
  </si>
  <si>
    <t xml:space="preserve">FIGURE E-1  —  Dam Cross-Section &amp; Breach Geometry Parameters</t>
  </si>
  <si>
    <t xml:space="preserve">FIGURE E-2  —  Breach Formation Factor &amp; Eroded Volume Concept</t>
  </si>
  <si>
    <t xml:space="preserve">
                    Dam Crest (elev. = Crest)
         &lt;---------------- C ----------------&gt;
         |                                    |
    Z1   |                                    |   Z2
   (H:1V)|                                    |  (H:1V)
         \                                  /
          \          BREACH                /
           \    &lt;--- Wcr at crest ---&gt;    /
            \  /                      \  /
             \/     Wtop (at WL)       \/
              |&lt;-Wb-&gt;|                  |
              |      |                  |
         BL --+------+------------------+----  Breach Base Elevation (BL)
              |      |
              &lt;------&gt;
                Wb = base width of breach
    Vertical dimensions:
      Hb = Crest elev. – BL
      Hw = WL elev. – BL          (Hw ≤ Hb)
      Freeboard f = Crest – WL    (if positive)
    Side slopes of breach: Zb (H:1V) on both sides
    Z3 = Z1 + Z2
</t>
  </si>
  <si>
    <t xml:space="preserve">
  Reservoir volume Vw (at Hw)
  ===========================
  |                         |
  |     Water surface       |  Hw
  |                         |
  +-------------------------+  Breach invert (BL)
           Dam body
  ===========================
         Eroded volume Vm
         (shaded prism)
  BFF = Vw × Hw          (US customary units for regression)
  Vm = 3.75 × BFF^0.77   (cohesionless / erodible)
  Vm = 2.50 × BFF^0.77   (erosion-resistant)
  Volume identity (metric conversion applied):
  27·Vm = Wb·K1 + K2
  where
  K1 = Hb · [C + (Hb·Z3)/2]
  K2 = Hb² · [(C·Zb) + (Hb·Zb·Z3)/3]
</t>
  </si>
  <si>
    <t xml:space="preserve">FIGURE E-3  —  Triangular &amp; Dimensionless Hydrograph Parameters</t>
  </si>
  <si>
    <t xml:space="preserve">FIGURE E-4  —  Downstream Valley Profile &amp; Flood Wave Travel</t>
  </si>
  <si>
    <t xml:space="preserve">
  Q
  |           Qp
  |          /\
  |         /  \
  |        /    \
  |       /      \
  |      /        \
  |     /          \
  |    /            \
  +---+------+-------+---- t
      0   T.Peak  T.Base
  Triangular hydrograph volume balance:
  (Vw + Vol.Inflow) = (1/2) · Qp · T.Base
  ⇒  T.Base = 2·(Vw + Vol.Inflow) / Qp
  Dimensionless form (Haan et al.):
  Q(t)/Qp = [ (t/T.Peak) · exp(1 – t/T.Peak) ] ^ K
  K ≈ 6.5 · [(Qp·T.Peak)/Vol ]^1.92
  (then adjusted so integrated volume matches)
</t>
  </si>
  <si>
    <t xml:space="preserve">
  Elevation
  |
  |  Dam
  |  /\
  | /  \________     Valley profile
  |/          \    /
  +------------\--/------------ Distance from dam
  0            x1  x2         x_end
  At each station x:
    Channel gradient S = ΔElev / Δx
    Flow velocity V estimated from S &amp; channel type
    Flood-wave celerity Vw ≈ (1.0 – 1.5) × V
  Travel time window (min → max):
    t_min = Σ (Δx / Vw_max)
    t_max = Σ (Δx / Vw_min)
  Peak attenuation:
    Qx / Qp  from attenuation curves
    (function of distance and reservoir volume)
</t>
  </si>
  <si>
    <t xml:space="preserve">02  |  RESERVOIR STAGE – SURFACE AREA – STORAGE RELATIONSHIP</t>
  </si>
  <si>
    <t xml:space="preserve">Power-function approximation:  V = Ao·y + k·y^m    ;    A = Ao + m·k·y^(m-1)     |     Calibrated from known (y, A, V) at normal pool</t>
  </si>
  <si>
    <t xml:space="preserve">GOVERNING INPUTS (user entry)</t>
  </si>
  <si>
    <t xml:space="preserve">LIMITATIONS / GUIDANCE</t>
  </si>
  <si>
    <t xml:space="preserve">Parameter</t>
  </si>
  <si>
    <t xml:space="preserve">Value</t>
  </si>
  <si>
    <t xml:space="preserve">• Typically 2 &lt; m &lt; 3 for natural reservoirs.
• For Ao &gt; 0 require m &gt; (y·A / V) &gt; 2.
• If detailed survey data exist, replace the power-function table with surveyed stage-storage values.
• Surface area A must be in hectares when volume is in m³ for the coefficient formulas shown (consistent internal unit handling).
• Crest elevation defines the upper limit of the generated table.</t>
  </si>
  <si>
    <t xml:space="preserve">Normal pool depth</t>
  </si>
  <si>
    <t xml:space="preserve">y_np</t>
  </si>
  <si>
    <t xml:space="preserve">Surface area at normal pool</t>
  </si>
  <si>
    <t xml:space="preserve">A_np</t>
  </si>
  <si>
    <t xml:space="preserve">ha</t>
  </si>
  <si>
    <t xml:space="preserve">Storage volume at normal pool</t>
  </si>
  <si>
    <t xml:space="preserve">V_np</t>
  </si>
  <si>
    <t xml:space="preserve">Reservoir base elevation</t>
  </si>
  <si>
    <t xml:space="preserve">Base</t>
  </si>
  <si>
    <t xml:space="preserve">Dam crest elevation</t>
  </si>
  <si>
    <t xml:space="preserve">Crest</t>
  </si>
  <si>
    <t xml:space="preserve">Stage increment for table</t>
  </si>
  <si>
    <t xml:space="preserve">Δy</t>
  </si>
  <si>
    <t xml:space="preserve">Power exponent (m &gt; yA/V)</t>
  </si>
  <si>
    <t xml:space="preserve">CALCULATED COEFFICIENTS</t>
  </si>
  <si>
    <t xml:space="preserve">Coefficient</t>
  </si>
  <si>
    <t xml:space="preserve">Unit / Note</t>
  </si>
  <si>
    <t xml:space="preserve">Shape coefficient</t>
  </si>
  <si>
    <t xml:space="preserve">k</t>
  </si>
  <si>
    <t xml:space="preserve">ha / m^(m-1)  (A in ha)</t>
  </si>
  <si>
    <t xml:space="preserve">Base area coefficient</t>
  </si>
  <si>
    <t xml:space="preserve">Ao</t>
  </si>
  <si>
    <t xml:space="preserve">Check: m &gt; y·A/V ?</t>
  </si>
  <si>
    <t xml:space="preserve">yA/V</t>
  </si>
  <si>
    <t xml:space="preserve">must be &lt; m</t>
  </si>
  <si>
    <t xml:space="preserve">STAGE – SURFACE AREA – STORAGE TABLE  (auto-generated from coefficients)</t>
  </si>
  <si>
    <t xml:space="preserve">Stage y (m)</t>
  </si>
  <si>
    <t xml:space="preserve">Elevation (m)</t>
  </si>
  <si>
    <t xml:space="preserve">Surface Area A (ha)</t>
  </si>
  <si>
    <t xml:space="preserve">Cum. Volume V (m³)</t>
  </si>
  <si>
    <t xml:space="preserve">Notes</t>
  </si>
  <si>
    <t xml:space="preserve">KEY OUTPUTS FOR LINKING TO OTHER SHEETS</t>
  </si>
  <si>
    <t xml:space="preserve">Volume at crest (approx)</t>
  </si>
  <si>
    <t xml:space="preserve">Surface area at crest</t>
  </si>
  <si>
    <t xml:space="preserve">Volume at normal pool (input)</t>
  </si>
  <si>
    <t xml:space="preserve">Sa at normal pool (input)</t>
  </si>
  <si>
    <t xml:space="preserve">03  |  BREACH GEOMETRY &amp; PEAK DISCHARGE  (Break Formation Factor Method – Tech Note 1)</t>
  </si>
  <si>
    <t xml:space="preserve">Two scenarios: (1) Piping failure at normal / spillway pool   (2) Overtopping failure at dam crest / PMP pool.  All core equations shown.</t>
  </si>
  <si>
    <t xml:space="preserve">COMMON DAM GEOMETRY (shared by both scenarios)</t>
  </si>
  <si>
    <t xml:space="preserve">LIMITATIONS (Tech Note 1)</t>
  </si>
  <si>
    <t xml:space="preserve">Breach width / height ratio:
  typical 0.5 – 3.0
Failure time t:
  typical 0.2 – 4.0 hr
Material factors (US units):
  Cohesionless: f_Vm=3.75, f_t=0.02
  Resistant:    f_Vm=2.50, f_t=0.036
Side slopes Zb:
  Cohesionless ≈ 0.5 – 1.0
  Resistant    ≈ 0.25 – 0.5
Select Qp from mod. weir when
T.Peak / T.Base &lt; 0.5; otherwise
consider Froehlich or timestep method.</t>
  </si>
  <si>
    <t xml:space="preserve">Breach base elevation</t>
  </si>
  <si>
    <t xml:space="preserve">Crest width</t>
  </si>
  <si>
    <t xml:space="preserve">Crest length</t>
  </si>
  <si>
    <t xml:space="preserve">Lcrest</t>
  </si>
  <si>
    <t xml:space="preserve">Upstream face slope</t>
  </si>
  <si>
    <t xml:space="preserve">Downstream face slope</t>
  </si>
  <si>
    <t xml:space="preserve">Breach side slope (piping)</t>
  </si>
  <si>
    <t xml:space="preserve">Zb_p</t>
  </si>
  <si>
    <t xml:space="preserve">Breach side slope (overtop)</t>
  </si>
  <si>
    <t xml:space="preserve">Zb_o</t>
  </si>
  <si>
    <t xml:space="preserve">Vm factor (cohesionless=3.75 / resist=2.5)</t>
  </si>
  <si>
    <t xml:space="preserve">f_Vm</t>
  </si>
  <si>
    <t xml:space="preserve">US units</t>
  </si>
  <si>
    <t xml:space="preserve">t factor (cohesionless=0.02 / resist=0.036)</t>
  </si>
  <si>
    <t xml:space="preserve">f_t</t>
  </si>
  <si>
    <t xml:space="preserve">Height of breach Hb</t>
  </si>
  <si>
    <t xml:space="preserve">Z3 = Z1+Z2</t>
  </si>
  <si>
    <t xml:space="preserve">SCENARIO 1 — PIPING FAILURE  (WL at overflow spillway / normal pool / 100-yr storm)</t>
  </si>
  <si>
    <t xml:space="preserve">US equiv.</t>
  </si>
  <si>
    <t xml:space="preserve">Water surface elevation</t>
  </si>
  <si>
    <t xml:space="preserve">WL_p</t>
  </si>
  <si>
    <t xml:space="preserve">Height over breach elev. Hw</t>
  </si>
  <si>
    <t xml:space="preserve">Hw_p</t>
  </si>
  <si>
    <t xml:space="preserve">Volume of water Vw</t>
  </si>
  <si>
    <t xml:space="preserve">Vw_p</t>
  </si>
  <si>
    <t xml:space="preserve">ac-ft</t>
  </si>
  <si>
    <t xml:space="preserve">Surface area Sa</t>
  </si>
  <si>
    <t xml:space="preserve">Sa_p</t>
  </si>
  <si>
    <t xml:space="preserve">ac</t>
  </si>
  <si>
    <t xml:space="preserve">CALCULATED RESULTS — PIPING</t>
  </si>
  <si>
    <t xml:space="preserve">Breach Formation Factor BFF</t>
  </si>
  <si>
    <t xml:space="preserve">BFF_p</t>
  </si>
  <si>
    <t xml:space="preserve">Volume eroded Vm</t>
  </si>
  <si>
    <t xml:space="preserve">Vm_p</t>
  </si>
  <si>
    <t xml:space="preserve">cu.yd</t>
  </si>
  <si>
    <t xml:space="preserve">K1</t>
  </si>
  <si>
    <t xml:space="preserve">K1_p</t>
  </si>
  <si>
    <t xml:space="preserve">ft²</t>
  </si>
  <si>
    <t xml:space="preserve">K2</t>
  </si>
  <si>
    <t xml:space="preserve">K2_p</t>
  </si>
  <si>
    <t xml:space="preserve">ft³</t>
  </si>
  <si>
    <t xml:space="preserve">Base width Wb</t>
  </si>
  <si>
    <t xml:space="preserve">Wb_p</t>
  </si>
  <si>
    <t xml:space="preserve">ft</t>
  </si>
  <si>
    <t xml:space="preserve">Average width Wavg</t>
  </si>
  <si>
    <t xml:space="preserve">Wavg_p</t>
  </si>
  <si>
    <t xml:space="preserve">Top width (flow) Wtop</t>
  </si>
  <si>
    <t xml:space="preserve">Wtop_p</t>
  </si>
  <si>
    <t xml:space="preserve">Top width (crest) Wcr</t>
  </si>
  <si>
    <t xml:space="preserve">Wcr_p</t>
  </si>
  <si>
    <t xml:space="preserve">Breach % of crest length</t>
  </si>
  <si>
    <t xml:space="preserve">%_p</t>
  </si>
  <si>
    <t xml:space="preserve">%</t>
  </si>
  <si>
    <t xml:space="preserve">Time of breach development t</t>
  </si>
  <si>
    <t xml:space="preserve">t_p</t>
  </si>
  <si>
    <t xml:space="preserve">min</t>
  </si>
  <si>
    <t xml:space="preserve">A (storage factor)</t>
  </si>
  <si>
    <t xml:space="preserve">A_p</t>
  </si>
  <si>
    <t xml:space="preserve">US</t>
  </si>
  <si>
    <t xml:space="preserve">K3_p</t>
  </si>
  <si>
    <t xml:space="preserve">Mod. weir peak discharge Qp</t>
  </si>
  <si>
    <t xml:space="preserve">Qp_weir_p</t>
  </si>
  <si>
    <t xml:space="preserve">cfs</t>
  </si>
  <si>
    <t xml:space="preserve">Froehlich peak discharge Qp</t>
  </si>
  <si>
    <t xml:space="preserve">Qp_Fr_p</t>
  </si>
  <si>
    <t xml:space="preserve">SELECTED Qp (mod. weir recommended)</t>
  </si>
  <si>
    <t xml:space="preserve">Qp_p</t>
  </si>
  <si>
    <t xml:space="preserve">T.Base (triangular)</t>
  </si>
  <si>
    <t xml:space="preserve">Tbase_p</t>
  </si>
  <si>
    <t xml:space="preserve">SCENARIO 2 — OVERTOPPING FAILURE  (WL at dam crest / PMP max pool)</t>
  </si>
  <si>
    <t xml:space="preserve">WL_o</t>
  </si>
  <si>
    <t xml:space="preserve">Hw_o</t>
  </si>
  <si>
    <t xml:space="preserve">Vw_o</t>
  </si>
  <si>
    <t xml:space="preserve">Sa_o</t>
  </si>
  <si>
    <t xml:space="preserve">Volume inflow during breach</t>
  </si>
  <si>
    <t xml:space="preserve">Vin_o</t>
  </si>
  <si>
    <t xml:space="preserve">Sa adjusted for inflow</t>
  </si>
  <si>
    <t xml:space="preserve">Sa_adj</t>
  </si>
  <si>
    <t xml:space="preserve">CALCULATED RESULTS — OVERTOPPING</t>
  </si>
  <si>
    <t xml:space="preserve">BFF_o</t>
  </si>
  <si>
    <t xml:space="preserve">Vm_o</t>
  </si>
  <si>
    <t xml:space="preserve">K1_o</t>
  </si>
  <si>
    <t xml:space="preserve">K2_o</t>
  </si>
  <si>
    <t xml:space="preserve">Wb_o</t>
  </si>
  <si>
    <t xml:space="preserve">Wavg_o</t>
  </si>
  <si>
    <t xml:space="preserve">Wtop_o</t>
  </si>
  <si>
    <t xml:space="preserve">Wcr_o</t>
  </si>
  <si>
    <t xml:space="preserve">%_o</t>
  </si>
  <si>
    <t xml:space="preserve">t_o</t>
  </si>
  <si>
    <t xml:space="preserve">A_o</t>
  </si>
  <si>
    <t xml:space="preserve">K3_o</t>
  </si>
  <si>
    <t xml:space="preserve">Qp_weir_o</t>
  </si>
  <si>
    <t xml:space="preserve">Qp_Fr_o</t>
  </si>
  <si>
    <t xml:space="preserve">Qp_o</t>
  </si>
  <si>
    <t xml:space="preserve">T.Base (triangular, with inflow)</t>
  </si>
  <si>
    <t xml:space="preserve">Tbase_o</t>
  </si>
  <si>
    <t xml:space="preserve">04  |  WIDTH-CONSTRAINED BREACH  (Physical setting or short crest length limits Wb)</t>
  </si>
  <si>
    <t xml:space="preserve">Use when calculated Wb from sheet 03 exceeds available crest length or a known geologic/structural constraint.  User supplies Wb; Vm is checked against upper-limit regression.</t>
  </si>
  <si>
    <t xml:space="preserve">INPUTS (many linked from Sheet 03 – Overtopping scenario as default)</t>
  </si>
  <si>
    <t xml:space="preserve">Crest width C</t>
  </si>
  <si>
    <t xml:space="preserve">Breach side slope Zb</t>
  </si>
  <si>
    <t xml:space="preserve">Water surface elev. (failure)</t>
  </si>
  <si>
    <t xml:space="preserve">Vw</t>
  </si>
  <si>
    <t xml:space="preserve">Sa</t>
  </si>
  <si>
    <t xml:space="preserve">Volume inflow</t>
  </si>
  <si>
    <t xml:space="preserve">Vin</t>
  </si>
  <si>
    <t xml:space="preserve">Vm factor f_Vm</t>
  </si>
  <si>
    <t xml:space="preserve">t factor f_t</t>
  </si>
  <si>
    <t xml:space="preserve">USER-SPECIFIED base width Wb</t>
  </si>
  <si>
    <t xml:space="preserve">Wb_user</t>
  </si>
  <si>
    <t xml:space="preserve">UPPER-LIMIT CHECK ON ERODED VOLUME</t>
  </si>
  <si>
    <t xml:space="preserve">BFF (US units)</t>
  </si>
  <si>
    <t xml:space="preserve">Vm upper limit (regression)</t>
  </si>
  <si>
    <t xml:space="preserve">Vm_max</t>
  </si>
  <si>
    <t xml:space="preserve">Vm corresponding to user Wb</t>
  </si>
  <si>
    <t xml:space="preserve">Vm_user</t>
  </si>
  <si>
    <t xml:space="preserve">Vm_user &lt; Vm_max ?</t>
  </si>
  <si>
    <t xml:space="preserve">Check</t>
  </si>
  <si>
    <t xml:space="preserve">BREACH GEOMETRY &amp; PEAK DISCHARGE WITH USER Wb</t>
  </si>
  <si>
    <t xml:space="preserve">Time of development t</t>
  </si>
  <si>
    <t xml:space="preserve">t</t>
  </si>
  <si>
    <t xml:space="preserve">A (storage factor, US)</t>
  </si>
  <si>
    <t xml:space="preserve">A</t>
  </si>
  <si>
    <t xml:space="preserve">Mod. weir Qp</t>
  </si>
  <si>
    <t xml:space="preserve">Qp_weir</t>
  </si>
  <si>
    <t xml:space="preserve">Froehlich Qp</t>
  </si>
  <si>
    <t xml:space="preserve">Qp_Fr</t>
  </si>
  <si>
    <t xml:space="preserve">SELECTED Qp</t>
  </si>
  <si>
    <t xml:space="preserve">Tbase</t>
  </si>
  <si>
    <t xml:space="preserve">05  |  TIME-STEP BREACH HYDROGRAPH  (Progressive breach development – HEC-1 style)</t>
  </si>
  <si>
    <t xml:space="preserve">Breach grows linearly in time up to T.Fail.  Outflow computed each step from current Wb(t), H(t) using weir formulas.  Reservoir drawdown from continuity.</t>
  </si>
  <si>
    <t xml:space="preserve">KEY INPUTS</t>
  </si>
  <si>
    <t xml:space="preserve">Hb (m)</t>
  </si>
  <si>
    <t xml:space="preserve">Wb final (m)</t>
  </si>
  <si>
    <t xml:space="preserve">T.Fail (min)</t>
  </si>
  <si>
    <t xml:space="preserve">Initial WL (m)</t>
  </si>
  <si>
    <t xml:space="preserve">BL (m)</t>
  </si>
  <si>
    <t xml:space="preserve">Vw (m³)</t>
  </si>
  <si>
    <t xml:space="preserve">Qin avg (m³/s)</t>
  </si>
  <si>
    <t xml:space="preserve">dt (min)</t>
  </si>
  <si>
    <t xml:space="preserve">Crect (metric)</t>
  </si>
  <si>
    <t xml:space="preserve">Ctri (metric)</t>
  </si>
  <si>
    <t xml:space="preserve">NOTE: A full minute-by-minute time-step table (as in original Break-3) contains 40+ rows of progressive Wb, H, Qtri, Qrect, dVol, dWL. For practicality this sheet provides the governing inputs (linked) and a summary of the triangular hydrograph constructed from Qp &amp; T.Peak. For detailed step-by-step simulation the original Break-3 spreadsheet or a dedicated numerical model is recommended. The triangular hydrograph below is volume-conserving and suitable for most routing applications.</t>
  </si>
  <si>
    <t xml:space="preserve">TRIANGULAR HYDROGRAPH SUMMARY (volume-conserving)</t>
  </si>
  <si>
    <t xml:space="preserve">Qp (m³/s)</t>
  </si>
  <si>
    <t xml:space="preserve">T.Peak (hr)</t>
  </si>
  <si>
    <t xml:space="preserve">Vol + Inflow (m³)</t>
  </si>
  <si>
    <t xml:space="preserve">T.Base (hr)</t>
  </si>
  <si>
    <t xml:space="preserve">HYDROGRAPH COORDINATES (triangular)</t>
  </si>
  <si>
    <t xml:space="preserve">Time (hr)</t>
  </si>
  <si>
    <t xml:space="preserve">Q (m³/s)</t>
  </si>
  <si>
    <t xml:space="preserve">Time (min)</t>
  </si>
  <si>
    <t xml:space="preserve">06  |  DIMENSIONLESS HYDROGRAPH  (Haan, Barfield &amp; Hayes method)</t>
  </si>
  <si>
    <t xml:space="preserve">Q(t)/Qp = [ (t/T.Peak)·exp(1 – t/T.Peak) ]^K     |     K adjusted so that integrated volume = reservoir volume + inflows</t>
  </si>
  <si>
    <t xml:space="preserve">INPUTS</t>
  </si>
  <si>
    <t xml:space="preserve">Reservoir volume (m³)</t>
  </si>
  <si>
    <t xml:space="preserve">Inflow volume (m³)</t>
  </si>
  <si>
    <t xml:space="preserve">Q.Peak (m³/s)</t>
  </si>
  <si>
    <t xml:space="preserve">T.Peak (min)</t>
  </si>
  <si>
    <t xml:space="preserve">Time increment (min)</t>
  </si>
  <si>
    <t xml:space="preserve">Total volume (m³)</t>
  </si>
  <si>
    <t xml:space="preserve">Initial K estimate</t>
  </si>
  <si>
    <t xml:space="preserve">Revised K (user adjust)</t>
  </si>
  <si>
    <t xml:space="preserve">Typical range</t>
  </si>
  <si>
    <t xml:space="preserve">1.5 – 5.0</t>
  </si>
  <si>
    <t xml:space="preserve">DIMENSIONLESS HYDROGRAPH TABLE</t>
  </si>
  <si>
    <t xml:space="preserve">t/T.Peak</t>
  </si>
  <si>
    <t xml:space="preserve">exp(1-t/Tp)</t>
  </si>
  <si>
    <t xml:space="preserve">[…] ^K</t>
  </si>
  <si>
    <t xml:space="preserve">Q (m³/hr)</t>
  </si>
  <si>
    <t xml:space="preserve">Incr. Vol (m³)</t>
  </si>
  <si>
    <t xml:space="preserve">Cumulative volume check</t>
  </si>
  <si>
    <t xml:space="preserve">Target volume</t>
  </si>
  <si>
    <t xml:space="preserve">% difference</t>
  </si>
  <si>
    <t xml:space="preserve">07  |  DOWNSTREAM FLOOD ATTENUATION &amp; TRAVEL TIME  (Valley profile method)</t>
  </si>
  <si>
    <t xml:space="preserve">Hydraulic profile of the drainage path below the dam.  Peak attenuation estimated from distance &amp; reservoir volume class.  Flood-wave travel-time window from channel velocity × 1.0–1.5 factor.</t>
  </si>
  <si>
    <t xml:space="preserve">SCENARIO &amp; PEAK DISCHARGE</t>
  </si>
  <si>
    <t xml:space="preserve">Selected Qp (m³/s)</t>
  </si>
  <si>
    <t xml:space="preserve">Reservoir volume class</t>
  </si>
  <si>
    <t xml:space="preserve">Small (&lt;50 ac-ft)</t>
  </si>
  <si>
    <t xml:space="preserve">Initial reservoir vol (m³)</t>
  </si>
  <si>
    <t xml:space="preserve">VALLEY / CHANNEL PROFILE  (enter stations from dam downstream)</t>
  </si>
  <si>
    <t xml:space="preserve">Station ID</t>
  </si>
  <si>
    <t xml:space="preserve">Dist. from dam (m)</t>
  </si>
  <si>
    <t xml:space="preserve">Δx (m)</t>
  </si>
  <si>
    <t xml:space="preserve">Gradient (m/m)</t>
  </si>
  <si>
    <t xml:space="preserve">Grad. (m/km)</t>
  </si>
  <si>
    <t xml:space="preserve">Flow vel. V (m/s)</t>
  </si>
  <si>
    <t xml:space="preserve">Qx/Qp</t>
  </si>
  <si>
    <t xml:space="preserve">Qx (m³/s)</t>
  </si>
  <si>
    <t xml:space="preserve">t_min incr (min)</t>
  </si>
  <si>
    <t xml:space="preserve">t_max incr (min)</t>
  </si>
  <si>
    <t xml:space="preserve">CUMULATIVE TRAVEL TIME WINDOW</t>
  </si>
  <si>
    <t xml:space="preserve">Total t_min (min)</t>
  </si>
  <si>
    <t xml:space="preserve">Total t_max (min)</t>
  </si>
  <si>
    <t xml:space="preserve">Total t_min (hr)</t>
  </si>
  <si>
    <t xml:space="preserve">Total t_max (hr)</t>
  </si>
  <si>
    <t xml:space="preserve">GUIDANCE:  Qx/Qp attenuation factors should be taken from published dam-break attenuation curves (function of distance and reservoir volume). For steep, narrow canyons attenuation may be negligible (Qx/Qp ≈ 1).  Flow velocities above are simplified placeholders – replace with Manning or observed values appropriate to the channel type (Tech Note 1 Table 7).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</si>
</sst>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Consolas"/>
      <family val="0"/>
      <charset val="1"/>
    </font>
    <font>
      <i val="true"/>
      <sz val="8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8"/>
      <name val="Consolas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D3B66"/>
        <bgColor rgb="FF1F4E79"/>
      </patternFill>
    </fill>
    <fill>
      <patternFill patternType="solid">
        <fgColor rgb="FF1F4E79"/>
        <bgColor rgb="FF0D3B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8E7"/>
      </patternFill>
    </fill>
    <fill>
      <patternFill patternType="solid">
        <fgColor rgb="FFF2F2F2"/>
        <bgColor rgb="FFFFF8E7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6EAF8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6EAF8"/>
        <bgColor rgb="FFDDEBF7"/>
      </patternFill>
    </fill>
    <fill>
      <patternFill patternType="solid">
        <fgColor rgb="FFFFF8E7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/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6EAF8"/>
      <rgbColor rgb="FF660066"/>
      <rgbColor rgb="FFFF8080"/>
      <rgbColor rgb="FF0066CC"/>
      <rgbColor rgb="FFE2EF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F8E7"/>
      <rgbColor rgb="FFF2F2F2"/>
      <rgbColor rgb="FFFCE4D6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D3B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3" min="3" style="0" width="45"/>
    <col collapsed="false" customWidth="true" hidden="false" outlineLevel="0" max="4" min="4" style="0" width="25"/>
    <col collapsed="false" customWidth="true" hidden="false" outlineLevel="0" max="6" min="5" style="0" width="20"/>
    <col collapsed="false" customWidth="true" hidden="false" outlineLevel="0" max="7" min="7" style="0" width="15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</row>
    <row r="4" customFormat="false" ht="15" hidden="false" customHeight="true" outlineLevel="0" collapsed="false">
      <c r="B4" s="3" t="s">
        <v>2</v>
      </c>
      <c r="C4" s="3"/>
      <c r="D4" s="3"/>
      <c r="E4" s="3"/>
      <c r="F4" s="3"/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</row>
    <row r="7" customFormat="false" ht="15" hidden="false" customHeight="false" outlineLevel="0" collapsed="false">
      <c r="B7" s="0" t="s">
        <v>4</v>
      </c>
      <c r="C7" s="5"/>
      <c r="D7" s="6" t="s">
        <v>5</v>
      </c>
      <c r="E7" s="5"/>
    </row>
    <row r="8" customFormat="false" ht="15" hidden="false" customHeight="false" outlineLevel="0" collapsed="false">
      <c r="B8" s="0" t="s">
        <v>6</v>
      </c>
      <c r="C8" s="5"/>
      <c r="D8" s="6" t="s">
        <v>7</v>
      </c>
      <c r="E8" s="5"/>
    </row>
    <row r="9" customFormat="false" ht="15" hidden="false" customHeight="false" outlineLevel="0" collapsed="false">
      <c r="B9" s="0" t="s">
        <v>8</v>
      </c>
      <c r="C9" s="5"/>
      <c r="D9" s="6" t="s">
        <v>9</v>
      </c>
      <c r="E9" s="5" t="s">
        <v>10</v>
      </c>
    </row>
    <row r="11" customFormat="false" ht="15" hidden="false" customHeight="true" outlineLevel="0" collapsed="false">
      <c r="B11" s="4" t="s">
        <v>11</v>
      </c>
      <c r="C11" s="4"/>
      <c r="D11" s="4"/>
      <c r="E11" s="4"/>
      <c r="F11" s="4"/>
    </row>
    <row r="12" customFormat="false" ht="15" hidden="false" customHeight="false" outlineLevel="0" collapsed="false">
      <c r="B12" s="7" t="s">
        <v>12</v>
      </c>
      <c r="C12" s="7" t="s">
        <v>13</v>
      </c>
      <c r="D12" s="7" t="s">
        <v>14</v>
      </c>
      <c r="E12" s="7" t="s">
        <v>15</v>
      </c>
      <c r="F12" s="7" t="s">
        <v>16</v>
      </c>
    </row>
    <row r="13" customFormat="false" ht="45" hidden="false" customHeight="true" outlineLevel="0" collapsed="false">
      <c r="B13" s="8" t="s">
        <v>17</v>
      </c>
      <c r="C13" s="9" t="s">
        <v>18</v>
      </c>
      <c r="D13" s="10" t="s">
        <v>19</v>
      </c>
      <c r="E13" s="10" t="s">
        <v>20</v>
      </c>
      <c r="F13" s="10" t="s">
        <v>21</v>
      </c>
    </row>
    <row r="14" customFormat="false" ht="45" hidden="false" customHeight="true" outlineLevel="0" collapsed="false">
      <c r="B14" s="11" t="s">
        <v>22</v>
      </c>
      <c r="C14" s="12" t="s">
        <v>23</v>
      </c>
      <c r="D14" s="13" t="s">
        <v>24</v>
      </c>
      <c r="E14" s="13" t="s">
        <v>25</v>
      </c>
      <c r="F14" s="13" t="s">
        <v>26</v>
      </c>
    </row>
    <row r="15" customFormat="false" ht="45" hidden="false" customHeight="true" outlineLevel="0" collapsed="false">
      <c r="B15" s="8" t="s">
        <v>27</v>
      </c>
      <c r="C15" s="9" t="s">
        <v>28</v>
      </c>
      <c r="D15" s="10" t="s">
        <v>29</v>
      </c>
      <c r="E15" s="10" t="s">
        <v>30</v>
      </c>
      <c r="F15" s="10" t="s">
        <v>31</v>
      </c>
    </row>
    <row r="16" customFormat="false" ht="45" hidden="false" customHeight="true" outlineLevel="0" collapsed="false">
      <c r="B16" s="11" t="s">
        <v>32</v>
      </c>
      <c r="C16" s="12" t="s">
        <v>33</v>
      </c>
      <c r="D16" s="13" t="s">
        <v>34</v>
      </c>
      <c r="E16" s="13" t="s">
        <v>35</v>
      </c>
      <c r="F16" s="13" t="s">
        <v>36</v>
      </c>
    </row>
    <row r="17" customFormat="false" ht="45" hidden="false" customHeight="true" outlineLevel="0" collapsed="false">
      <c r="B17" s="8" t="s">
        <v>37</v>
      </c>
      <c r="C17" s="9" t="s">
        <v>38</v>
      </c>
      <c r="D17" s="10" t="s">
        <v>39</v>
      </c>
      <c r="E17" s="10" t="s">
        <v>40</v>
      </c>
      <c r="F17" s="10" t="s">
        <v>41</v>
      </c>
    </row>
    <row r="18" customFormat="false" ht="45" hidden="false" customHeight="true" outlineLevel="0" collapsed="false">
      <c r="B18" s="11" t="s">
        <v>42</v>
      </c>
      <c r="C18" s="12" t="s">
        <v>43</v>
      </c>
      <c r="D18" s="13" t="s">
        <v>44</v>
      </c>
      <c r="E18" s="13" t="s">
        <v>45</v>
      </c>
      <c r="F18" s="13" t="s">
        <v>46</v>
      </c>
    </row>
    <row r="19" customFormat="false" ht="45" hidden="false" customHeight="true" outlineLevel="0" collapsed="false">
      <c r="B19" s="8" t="s">
        <v>47</v>
      </c>
      <c r="C19" s="9" t="s">
        <v>48</v>
      </c>
      <c r="D19" s="10" t="s">
        <v>49</v>
      </c>
      <c r="E19" s="10" t="s">
        <v>50</v>
      </c>
      <c r="F19" s="10" t="s">
        <v>51</v>
      </c>
    </row>
    <row r="21" customFormat="false" ht="15" hidden="false" customHeight="true" outlineLevel="0" collapsed="false">
      <c r="B21" s="4" t="s">
        <v>52</v>
      </c>
      <c r="C21" s="4"/>
      <c r="D21" s="4"/>
      <c r="E21" s="4"/>
      <c r="F21" s="4"/>
    </row>
    <row r="22" customFormat="false" ht="15" hidden="false" customHeight="false" outlineLevel="0" collapsed="false">
      <c r="B22" s="7" t="s">
        <v>53</v>
      </c>
      <c r="C22" s="7" t="s">
        <v>54</v>
      </c>
      <c r="D22" s="7" t="s">
        <v>55</v>
      </c>
    </row>
    <row r="23" customFormat="false" ht="15" hidden="false" customHeight="false" outlineLevel="0" collapsed="false">
      <c r="B23" s="14"/>
      <c r="C23" s="15" t="s">
        <v>56</v>
      </c>
      <c r="D23" s="15" t="s">
        <v>57</v>
      </c>
    </row>
    <row r="24" customFormat="false" ht="15" hidden="false" customHeight="false" outlineLevel="0" collapsed="false">
      <c r="B24" s="16"/>
      <c r="C24" s="15" t="s">
        <v>58</v>
      </c>
      <c r="D24" s="15" t="s">
        <v>59</v>
      </c>
    </row>
    <row r="25" customFormat="false" ht="15" hidden="false" customHeight="false" outlineLevel="0" collapsed="false">
      <c r="B25" s="17"/>
      <c r="C25" s="15" t="s">
        <v>60</v>
      </c>
      <c r="D25" s="15" t="s">
        <v>61</v>
      </c>
    </row>
    <row r="26" customFormat="false" ht="15" hidden="false" customHeight="false" outlineLevel="0" collapsed="false">
      <c r="B26" s="18"/>
      <c r="C26" s="15" t="s">
        <v>62</v>
      </c>
      <c r="D26" s="15" t="s">
        <v>63</v>
      </c>
    </row>
    <row r="27" customFormat="false" ht="15" hidden="false" customHeight="false" outlineLevel="0" collapsed="false">
      <c r="B27" s="19"/>
      <c r="C27" s="15" t="s">
        <v>64</v>
      </c>
      <c r="D27" s="15" t="s">
        <v>65</v>
      </c>
    </row>
    <row r="28" customFormat="false" ht="15" hidden="false" customHeight="false" outlineLevel="0" collapsed="false">
      <c r="B28" s="20"/>
      <c r="C28" s="15" t="s">
        <v>66</v>
      </c>
      <c r="D28" s="15" t="s">
        <v>67</v>
      </c>
    </row>
    <row r="29" customFormat="false" ht="15" hidden="false" customHeight="false" outlineLevel="0" collapsed="false">
      <c r="B29" s="21"/>
      <c r="C29" s="15" t="s">
        <v>68</v>
      </c>
      <c r="D29" s="15" t="s">
        <v>69</v>
      </c>
    </row>
    <row r="31" customFormat="false" ht="15" hidden="false" customHeight="true" outlineLevel="0" collapsed="false">
      <c r="B31" s="4" t="s">
        <v>70</v>
      </c>
      <c r="C31" s="4"/>
      <c r="D31" s="4"/>
      <c r="E31" s="4"/>
      <c r="F31" s="4"/>
    </row>
    <row r="32" customFormat="false" ht="15" hidden="false" customHeight="true" outlineLevel="0" collapsed="false">
      <c r="B32" s="22" t="s">
        <v>71</v>
      </c>
      <c r="C32" s="22"/>
      <c r="D32" s="22"/>
      <c r="E32" s="22"/>
      <c r="F32" s="22"/>
    </row>
    <row r="33" customFormat="false" ht="22.35" hidden="false" customHeight="true" outlineLevel="0" collapsed="false">
      <c r="B33" s="22" t="s">
        <v>72</v>
      </c>
      <c r="C33" s="22"/>
      <c r="D33" s="22"/>
      <c r="E33" s="22"/>
      <c r="F33" s="22"/>
    </row>
    <row r="34" customFormat="false" ht="15" hidden="false" customHeight="true" outlineLevel="0" collapsed="false">
      <c r="B34" s="22" t="s">
        <v>73</v>
      </c>
      <c r="C34" s="22"/>
      <c r="D34" s="22"/>
      <c r="E34" s="22"/>
      <c r="F34" s="22"/>
    </row>
    <row r="35" customFormat="false" ht="15" hidden="false" customHeight="true" outlineLevel="0" collapsed="false">
      <c r="B35" s="22" t="s">
        <v>74</v>
      </c>
      <c r="C35" s="22"/>
      <c r="D35" s="22"/>
      <c r="E35" s="22"/>
      <c r="F35" s="22"/>
    </row>
    <row r="36" customFormat="false" ht="15" hidden="false" customHeight="true" outlineLevel="0" collapsed="false">
      <c r="B36" s="22" t="s">
        <v>75</v>
      </c>
      <c r="C36" s="22"/>
      <c r="D36" s="22"/>
      <c r="E36" s="22"/>
      <c r="F36" s="22"/>
    </row>
    <row r="37" customFormat="false" ht="15" hidden="false" customHeight="true" outlineLevel="0" collapsed="false">
      <c r="B37" s="22" t="s">
        <v>76</v>
      </c>
      <c r="C37" s="22"/>
      <c r="D37" s="22"/>
      <c r="E37" s="22"/>
      <c r="F37" s="22"/>
    </row>
    <row r="38" customFormat="false" ht="15" hidden="false" customHeight="true" outlineLevel="0" collapsed="false">
      <c r="B38" s="22" t="s">
        <v>77</v>
      </c>
      <c r="C38" s="22"/>
      <c r="D38" s="22"/>
      <c r="E38" s="22"/>
      <c r="F38" s="22"/>
    </row>
  </sheetData>
  <mergeCells count="14">
    <mergeCell ref="B2:F2"/>
    <mergeCell ref="B3:F3"/>
    <mergeCell ref="B4:F4"/>
    <mergeCell ref="B6:F6"/>
    <mergeCell ref="B11:F11"/>
    <mergeCell ref="B21:F21"/>
    <mergeCell ref="B31:F31"/>
    <mergeCell ref="B32:F32"/>
    <mergeCell ref="B33:F33"/>
    <mergeCell ref="B34:F34"/>
    <mergeCell ref="B35:F35"/>
    <mergeCell ref="B36:F36"/>
    <mergeCell ref="B37:F37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55"/>
    <col collapsed="false" customWidth="true" hidden="false" outlineLevel="0" max="6" min="6" style="0" width="45"/>
    <col collapsed="false" customWidth="true" hidden="false" outlineLevel="0" max="7" min="7" style="0" width="30"/>
  </cols>
  <sheetData>
    <row r="2" customFormat="false" ht="17.35" hidden="false" customHeight="true" outlineLevel="0" collapsed="false">
      <c r="B2" s="23" t="s">
        <v>78</v>
      </c>
      <c r="C2" s="23"/>
      <c r="D2" s="23"/>
      <c r="E2" s="23"/>
      <c r="F2" s="23"/>
      <c r="G2" s="23"/>
    </row>
    <row r="3" customFormat="false" ht="15" hidden="false" customHeight="true" outlineLevel="0" collapsed="false">
      <c r="B3" s="24" t="s">
        <v>79</v>
      </c>
      <c r="C3" s="24"/>
      <c r="D3" s="24"/>
      <c r="E3" s="24"/>
      <c r="F3" s="24"/>
      <c r="G3" s="24"/>
    </row>
    <row r="5" customFormat="false" ht="15" hidden="false" customHeight="true" outlineLevel="0" collapsed="false">
      <c r="B5" s="4" t="s">
        <v>80</v>
      </c>
      <c r="C5" s="4"/>
      <c r="D5" s="4"/>
      <c r="E5" s="4"/>
      <c r="F5" s="4"/>
      <c r="G5" s="4"/>
    </row>
    <row r="6" customFormat="false" ht="26.85" hidden="false" customHeight="false" outlineLevel="0" collapsed="false">
      <c r="B6" s="7" t="s">
        <v>81</v>
      </c>
      <c r="C6" s="7" t="s">
        <v>82</v>
      </c>
      <c r="D6" s="7" t="s">
        <v>83</v>
      </c>
      <c r="E6" s="7" t="s">
        <v>84</v>
      </c>
      <c r="F6" s="7" t="s">
        <v>85</v>
      </c>
      <c r="G6" s="7" t="s">
        <v>86</v>
      </c>
    </row>
    <row r="7" customFormat="false" ht="22.35" hidden="false" customHeight="false" outlineLevel="0" collapsed="false">
      <c r="B7" s="25" t="s">
        <v>87</v>
      </c>
      <c r="C7" s="9" t="s">
        <v>88</v>
      </c>
      <c r="D7" s="10" t="s">
        <v>89</v>
      </c>
      <c r="E7" s="10" t="s">
        <v>90</v>
      </c>
      <c r="F7" s="26" t="s">
        <v>91</v>
      </c>
      <c r="G7" s="27" t="s">
        <v>92</v>
      </c>
    </row>
    <row r="8" customFormat="false" ht="15" hidden="false" customHeight="false" outlineLevel="0" collapsed="false">
      <c r="B8" s="28" t="s">
        <v>93</v>
      </c>
      <c r="C8" s="12" t="s">
        <v>88</v>
      </c>
      <c r="D8" s="13" t="s">
        <v>20</v>
      </c>
      <c r="E8" s="13" t="s">
        <v>94</v>
      </c>
      <c r="F8" s="29" t="s">
        <v>95</v>
      </c>
      <c r="G8" s="30" t="s">
        <v>96</v>
      </c>
    </row>
    <row r="9" customFormat="false" ht="22.35" hidden="false" customHeight="false" outlineLevel="0" collapsed="false">
      <c r="B9" s="25" t="s">
        <v>97</v>
      </c>
      <c r="C9" s="9" t="s">
        <v>98</v>
      </c>
      <c r="D9" s="10" t="s">
        <v>99</v>
      </c>
      <c r="E9" s="10" t="s">
        <v>100</v>
      </c>
      <c r="F9" s="26" t="s">
        <v>101</v>
      </c>
      <c r="G9" s="27" t="s">
        <v>102</v>
      </c>
    </row>
    <row r="10" customFormat="false" ht="22.35" hidden="false" customHeight="false" outlineLevel="0" collapsed="false">
      <c r="B10" s="28" t="s">
        <v>103</v>
      </c>
      <c r="C10" s="12" t="s">
        <v>104</v>
      </c>
      <c r="D10" s="13" t="s">
        <v>99</v>
      </c>
      <c r="E10" s="13" t="s">
        <v>105</v>
      </c>
      <c r="F10" s="29" t="s">
        <v>106</v>
      </c>
      <c r="G10" s="30" t="s">
        <v>107</v>
      </c>
    </row>
    <row r="11" customFormat="false" ht="22.35" hidden="false" customHeight="false" outlineLevel="0" collapsed="false">
      <c r="B11" s="25" t="s">
        <v>108</v>
      </c>
      <c r="C11" s="9" t="s">
        <v>109</v>
      </c>
      <c r="D11" s="10" t="s">
        <v>110</v>
      </c>
      <c r="E11" s="10" t="s">
        <v>111</v>
      </c>
      <c r="F11" s="26" t="s">
        <v>112</v>
      </c>
      <c r="G11" s="27" t="s">
        <v>113</v>
      </c>
    </row>
    <row r="12" customFormat="false" ht="22.35" hidden="false" customHeight="false" outlineLevel="0" collapsed="false">
      <c r="B12" s="28" t="s">
        <v>114</v>
      </c>
      <c r="C12" s="12" t="s">
        <v>88</v>
      </c>
      <c r="D12" s="13" t="s">
        <v>110</v>
      </c>
      <c r="E12" s="13" t="s">
        <v>115</v>
      </c>
      <c r="F12" s="29" t="s">
        <v>116</v>
      </c>
      <c r="G12" s="30" t="s">
        <v>117</v>
      </c>
    </row>
    <row r="14" customFormat="false" ht="15" hidden="false" customHeight="true" outlineLevel="0" collapsed="false">
      <c r="B14" s="4" t="s">
        <v>118</v>
      </c>
      <c r="C14" s="4"/>
      <c r="D14" s="4"/>
      <c r="E14" s="4"/>
      <c r="F14" s="4"/>
      <c r="G14" s="4"/>
    </row>
    <row r="15" customFormat="false" ht="26.85" hidden="false" customHeight="false" outlineLevel="0" collapsed="false">
      <c r="B15" s="7" t="s">
        <v>81</v>
      </c>
      <c r="C15" s="7" t="s">
        <v>82</v>
      </c>
      <c r="D15" s="7" t="s">
        <v>83</v>
      </c>
      <c r="E15" s="7" t="s">
        <v>84</v>
      </c>
      <c r="F15" s="7" t="s">
        <v>85</v>
      </c>
      <c r="G15" s="7" t="s">
        <v>86</v>
      </c>
    </row>
    <row r="16" customFormat="false" ht="22.35" hidden="false" customHeight="false" outlineLevel="0" collapsed="false">
      <c r="B16" s="25" t="s">
        <v>119</v>
      </c>
      <c r="C16" s="9" t="s">
        <v>88</v>
      </c>
      <c r="D16" s="10" t="s">
        <v>99</v>
      </c>
      <c r="E16" s="10" t="s">
        <v>120</v>
      </c>
      <c r="F16" s="26" t="s">
        <v>121</v>
      </c>
      <c r="G16" s="27" t="s">
        <v>122</v>
      </c>
    </row>
    <row r="17" customFormat="false" ht="22.35" hidden="false" customHeight="false" outlineLevel="0" collapsed="false">
      <c r="B17" s="28" t="s">
        <v>123</v>
      </c>
      <c r="C17" s="12" t="s">
        <v>88</v>
      </c>
      <c r="D17" s="13" t="s">
        <v>124</v>
      </c>
      <c r="E17" s="13" t="s">
        <v>125</v>
      </c>
      <c r="F17" s="29" t="s">
        <v>126</v>
      </c>
      <c r="G17" s="30" t="s">
        <v>127</v>
      </c>
    </row>
    <row r="18" customFormat="false" ht="22.35" hidden="false" customHeight="false" outlineLevel="0" collapsed="false">
      <c r="B18" s="25" t="s">
        <v>128</v>
      </c>
      <c r="C18" s="9" t="s">
        <v>88</v>
      </c>
      <c r="D18" s="10" t="s">
        <v>129</v>
      </c>
      <c r="E18" s="10" t="s">
        <v>130</v>
      </c>
      <c r="F18" s="26" t="s">
        <v>131</v>
      </c>
      <c r="G18" s="27" t="s">
        <v>132</v>
      </c>
    </row>
    <row r="19" customFormat="false" ht="15" hidden="false" customHeight="false" outlineLevel="0" collapsed="false">
      <c r="B19" s="28" t="s">
        <v>133</v>
      </c>
      <c r="C19" s="12" t="s">
        <v>134</v>
      </c>
      <c r="D19" s="13" t="s">
        <v>135</v>
      </c>
      <c r="E19" s="13" t="s">
        <v>136</v>
      </c>
      <c r="F19" s="29" t="s">
        <v>137</v>
      </c>
      <c r="G19" s="30" t="s">
        <v>138</v>
      </c>
    </row>
    <row r="20" customFormat="false" ht="15" hidden="false" customHeight="false" outlineLevel="0" collapsed="false">
      <c r="B20" s="25" t="s">
        <v>139</v>
      </c>
      <c r="C20" s="9" t="s">
        <v>134</v>
      </c>
      <c r="D20" s="10" t="s">
        <v>140</v>
      </c>
      <c r="E20" s="10" t="s">
        <v>141</v>
      </c>
      <c r="F20" s="26" t="s">
        <v>137</v>
      </c>
      <c r="G20" s="27" t="s">
        <v>142</v>
      </c>
    </row>
    <row r="21" customFormat="false" ht="22.35" hidden="false" customHeight="false" outlineLevel="0" collapsed="false">
      <c r="B21" s="28" t="s">
        <v>143</v>
      </c>
      <c r="C21" s="12" t="s">
        <v>134</v>
      </c>
      <c r="D21" s="13" t="s">
        <v>144</v>
      </c>
      <c r="E21" s="13" t="s">
        <v>145</v>
      </c>
      <c r="F21" s="29" t="s">
        <v>146</v>
      </c>
      <c r="G21" s="30" t="s">
        <v>147</v>
      </c>
    </row>
    <row r="22" customFormat="false" ht="22.35" hidden="false" customHeight="false" outlineLevel="0" collapsed="false">
      <c r="B22" s="25" t="s">
        <v>148</v>
      </c>
      <c r="C22" s="9" t="s">
        <v>88</v>
      </c>
      <c r="D22" s="10" t="s">
        <v>99</v>
      </c>
      <c r="E22" s="10" t="s">
        <v>149</v>
      </c>
      <c r="F22" s="26" t="s">
        <v>150</v>
      </c>
      <c r="G22" s="27" t="s">
        <v>151</v>
      </c>
    </row>
    <row r="23" customFormat="false" ht="22.35" hidden="false" customHeight="false" outlineLevel="0" collapsed="false">
      <c r="B23" s="28" t="s">
        <v>152</v>
      </c>
      <c r="C23" s="12" t="s">
        <v>88</v>
      </c>
      <c r="D23" s="13" t="s">
        <v>153</v>
      </c>
      <c r="E23" s="13" t="s">
        <v>154</v>
      </c>
      <c r="F23" s="29" t="s">
        <v>155</v>
      </c>
      <c r="G23" s="30" t="s">
        <v>156</v>
      </c>
    </row>
    <row r="25" customFormat="false" ht="15" hidden="false" customHeight="true" outlineLevel="0" collapsed="false">
      <c r="B25" s="4" t="s">
        <v>157</v>
      </c>
      <c r="C25" s="4"/>
      <c r="D25" s="4"/>
      <c r="E25" s="4"/>
      <c r="F25" s="4"/>
      <c r="G25" s="4"/>
    </row>
    <row r="26" customFormat="false" ht="26.85" hidden="false" customHeight="false" outlineLevel="0" collapsed="false">
      <c r="B26" s="7" t="s">
        <v>81</v>
      </c>
      <c r="C26" s="7" t="s">
        <v>82</v>
      </c>
      <c r="D26" s="7" t="s">
        <v>83</v>
      </c>
      <c r="E26" s="7" t="s">
        <v>84</v>
      </c>
      <c r="F26" s="7" t="s">
        <v>85</v>
      </c>
      <c r="G26" s="7" t="s">
        <v>86</v>
      </c>
    </row>
    <row r="27" customFormat="false" ht="22.35" hidden="false" customHeight="false" outlineLevel="0" collapsed="false">
      <c r="B27" s="25" t="s">
        <v>158</v>
      </c>
      <c r="C27" s="9" t="s">
        <v>88</v>
      </c>
      <c r="D27" s="10" t="s">
        <v>159</v>
      </c>
      <c r="E27" s="10" t="s">
        <v>160</v>
      </c>
      <c r="F27" s="26" t="s">
        <v>161</v>
      </c>
      <c r="G27" s="27" t="s">
        <v>162</v>
      </c>
    </row>
    <row r="28" customFormat="false" ht="22.35" hidden="false" customHeight="false" outlineLevel="0" collapsed="false">
      <c r="B28" s="28" t="s">
        <v>163</v>
      </c>
      <c r="C28" s="12" t="s">
        <v>88</v>
      </c>
      <c r="D28" s="13" t="s">
        <v>20</v>
      </c>
      <c r="E28" s="13" t="s">
        <v>164</v>
      </c>
      <c r="F28" s="29" t="s">
        <v>165</v>
      </c>
      <c r="G28" s="30" t="s">
        <v>166</v>
      </c>
    </row>
    <row r="29" customFormat="false" ht="15" hidden="false" customHeight="false" outlineLevel="0" collapsed="false">
      <c r="B29" s="25" t="s">
        <v>167</v>
      </c>
      <c r="C29" s="9" t="s">
        <v>88</v>
      </c>
      <c r="D29" s="10" t="s">
        <v>20</v>
      </c>
      <c r="E29" s="10" t="s">
        <v>168</v>
      </c>
      <c r="F29" s="26" t="s">
        <v>169</v>
      </c>
      <c r="G29" s="27" t="s">
        <v>170</v>
      </c>
    </row>
    <row r="30" customFormat="false" ht="15" hidden="false" customHeight="false" outlineLevel="0" collapsed="false">
      <c r="B30" s="28" t="s">
        <v>171</v>
      </c>
      <c r="C30" s="12" t="s">
        <v>88</v>
      </c>
      <c r="D30" s="13" t="s">
        <v>20</v>
      </c>
      <c r="E30" s="13" t="s">
        <v>172</v>
      </c>
      <c r="F30" s="29" t="s">
        <v>173</v>
      </c>
      <c r="G30" s="30" t="s">
        <v>174</v>
      </c>
    </row>
    <row r="31" customFormat="false" ht="22.35" hidden="false" customHeight="false" outlineLevel="0" collapsed="false">
      <c r="B31" s="25" t="s">
        <v>175</v>
      </c>
      <c r="C31" s="9" t="s">
        <v>134</v>
      </c>
      <c r="D31" s="10" t="s">
        <v>176</v>
      </c>
      <c r="E31" s="10" t="s">
        <v>177</v>
      </c>
      <c r="F31" s="26" t="s">
        <v>178</v>
      </c>
      <c r="G31" s="27" t="s">
        <v>179</v>
      </c>
    </row>
    <row r="32" customFormat="false" ht="22.35" hidden="false" customHeight="false" outlineLevel="0" collapsed="false">
      <c r="B32" s="28" t="s">
        <v>180</v>
      </c>
      <c r="C32" s="12" t="s">
        <v>181</v>
      </c>
      <c r="D32" s="13" t="s">
        <v>182</v>
      </c>
      <c r="E32" s="13" t="s">
        <v>183</v>
      </c>
      <c r="F32" s="29" t="s">
        <v>184</v>
      </c>
      <c r="G32" s="30" t="s">
        <v>185</v>
      </c>
    </row>
    <row r="33" customFormat="false" ht="22.35" hidden="false" customHeight="false" outlineLevel="0" collapsed="false">
      <c r="B33" s="25" t="s">
        <v>186</v>
      </c>
      <c r="C33" s="9" t="s">
        <v>187</v>
      </c>
      <c r="D33" s="10" t="s">
        <v>20</v>
      </c>
      <c r="E33" s="10" t="s">
        <v>188</v>
      </c>
      <c r="F33" s="26" t="s">
        <v>189</v>
      </c>
      <c r="G33" s="27" t="s">
        <v>190</v>
      </c>
    </row>
    <row r="34" customFormat="false" ht="22.35" hidden="false" customHeight="false" outlineLevel="0" collapsed="false">
      <c r="B34" s="28" t="s">
        <v>191</v>
      </c>
      <c r="C34" s="12" t="s">
        <v>192</v>
      </c>
      <c r="D34" s="13" t="s">
        <v>193</v>
      </c>
      <c r="E34" s="13" t="s">
        <v>194</v>
      </c>
      <c r="F34" s="29" t="s">
        <v>195</v>
      </c>
      <c r="G34" s="30" t="s">
        <v>196</v>
      </c>
    </row>
    <row r="36" customFormat="false" ht="15" hidden="false" customHeight="true" outlineLevel="0" collapsed="false">
      <c r="B36" s="4" t="s">
        <v>197</v>
      </c>
      <c r="C36" s="4"/>
      <c r="D36" s="4"/>
      <c r="E36" s="4"/>
      <c r="F36" s="4"/>
      <c r="G36" s="4"/>
    </row>
    <row r="37" customFormat="false" ht="26.85" hidden="false" customHeight="false" outlineLevel="0" collapsed="false">
      <c r="B37" s="7" t="s">
        <v>81</v>
      </c>
      <c r="C37" s="7" t="s">
        <v>82</v>
      </c>
      <c r="D37" s="7" t="s">
        <v>83</v>
      </c>
      <c r="E37" s="7" t="s">
        <v>84</v>
      </c>
      <c r="F37" s="7" t="s">
        <v>85</v>
      </c>
      <c r="G37" s="7" t="s">
        <v>86</v>
      </c>
    </row>
    <row r="38" customFormat="false" ht="22.35" hidden="false" customHeight="false" outlineLevel="0" collapsed="false">
      <c r="B38" s="25" t="s">
        <v>198</v>
      </c>
      <c r="C38" s="9" t="s">
        <v>109</v>
      </c>
      <c r="D38" s="10" t="s">
        <v>99</v>
      </c>
      <c r="E38" s="10" t="s">
        <v>199</v>
      </c>
      <c r="F38" s="26" t="s">
        <v>200</v>
      </c>
      <c r="G38" s="27" t="s">
        <v>201</v>
      </c>
    </row>
    <row r="39" customFormat="false" ht="22.35" hidden="false" customHeight="false" outlineLevel="0" collapsed="false">
      <c r="B39" s="28" t="s">
        <v>202</v>
      </c>
      <c r="C39" s="12" t="s">
        <v>20</v>
      </c>
      <c r="D39" s="13" t="s">
        <v>203</v>
      </c>
      <c r="E39" s="13" t="s">
        <v>204</v>
      </c>
      <c r="F39" s="29" t="s">
        <v>205</v>
      </c>
      <c r="G39" s="30" t="s">
        <v>206</v>
      </c>
    </row>
    <row r="40" customFormat="false" ht="22.35" hidden="false" customHeight="false" outlineLevel="0" collapsed="false">
      <c r="B40" s="25" t="s">
        <v>207</v>
      </c>
      <c r="C40" s="9" t="s">
        <v>208</v>
      </c>
      <c r="D40" s="10" t="s">
        <v>209</v>
      </c>
      <c r="E40" s="10" t="s">
        <v>210</v>
      </c>
      <c r="F40" s="26" t="s">
        <v>211</v>
      </c>
      <c r="G40" s="27" t="s">
        <v>212</v>
      </c>
    </row>
    <row r="41" customFormat="false" ht="22.35" hidden="false" customHeight="false" outlineLevel="0" collapsed="false">
      <c r="B41" s="28" t="s">
        <v>213</v>
      </c>
      <c r="C41" s="12" t="s">
        <v>208</v>
      </c>
      <c r="D41" s="13" t="s">
        <v>20</v>
      </c>
      <c r="E41" s="13" t="s">
        <v>214</v>
      </c>
      <c r="F41" s="29" t="s">
        <v>215</v>
      </c>
      <c r="G41" s="30" t="s">
        <v>216</v>
      </c>
    </row>
    <row r="42" customFormat="false" ht="15" hidden="false" customHeight="false" outlineLevel="0" collapsed="false">
      <c r="B42" s="25" t="s">
        <v>217</v>
      </c>
      <c r="C42" s="9" t="s">
        <v>20</v>
      </c>
      <c r="D42" s="10" t="s">
        <v>218</v>
      </c>
      <c r="E42" s="10" t="s">
        <v>219</v>
      </c>
      <c r="F42" s="26" t="s">
        <v>220</v>
      </c>
      <c r="G42" s="27" t="s">
        <v>221</v>
      </c>
    </row>
    <row r="43" customFormat="false" ht="22.35" hidden="false" customHeight="false" outlineLevel="0" collapsed="false">
      <c r="B43" s="28" t="s">
        <v>222</v>
      </c>
      <c r="C43" s="12" t="s">
        <v>109</v>
      </c>
      <c r="D43" s="13" t="s">
        <v>223</v>
      </c>
      <c r="E43" s="13" t="s">
        <v>224</v>
      </c>
      <c r="F43" s="29" t="s">
        <v>225</v>
      </c>
      <c r="G43" s="30" t="s">
        <v>226</v>
      </c>
    </row>
    <row r="44" customFormat="false" ht="15" hidden="false" customHeight="false" outlineLevel="0" collapsed="false">
      <c r="B44" s="25" t="s">
        <v>227</v>
      </c>
      <c r="C44" s="9" t="s">
        <v>228</v>
      </c>
      <c r="D44" s="10" t="s">
        <v>229</v>
      </c>
      <c r="E44" s="10" t="s">
        <v>230</v>
      </c>
      <c r="F44" s="26" t="s">
        <v>231</v>
      </c>
      <c r="G44" s="27" t="s">
        <v>232</v>
      </c>
    </row>
    <row r="46" customFormat="false" ht="15" hidden="false" customHeight="true" outlineLevel="0" collapsed="false">
      <c r="B46" s="4" t="s">
        <v>233</v>
      </c>
      <c r="C46" s="4"/>
      <c r="D46" s="4"/>
      <c r="E46" s="4"/>
      <c r="F46" s="4"/>
      <c r="G46" s="4"/>
    </row>
    <row r="48" customFormat="false" ht="15" hidden="false" customHeight="false" outlineLevel="0" collapsed="false">
      <c r="B48" s="31" t="s">
        <v>234</v>
      </c>
      <c r="C48" s="31"/>
      <c r="D48" s="31"/>
      <c r="E48" s="31" t="s">
        <v>235</v>
      </c>
      <c r="F48" s="31"/>
      <c r="G48" s="31"/>
    </row>
    <row r="49" customFormat="false" ht="199.5" hidden="false" customHeight="true" outlineLevel="0" collapsed="false">
      <c r="B49" s="32" t="s">
        <v>236</v>
      </c>
      <c r="C49" s="32"/>
      <c r="D49" s="32"/>
      <c r="E49" s="32" t="s">
        <v>237</v>
      </c>
      <c r="F49" s="32"/>
      <c r="G49" s="32"/>
    </row>
    <row r="50" customFormat="false" ht="15" hidden="false" customHeight="false" outlineLevel="0" collapsed="false">
      <c r="B50" s="32"/>
      <c r="C50" s="32"/>
      <c r="D50" s="32"/>
      <c r="E50" s="32"/>
      <c r="F50" s="32"/>
      <c r="G50" s="32"/>
    </row>
    <row r="51" customFormat="false" ht="15" hidden="false" customHeight="false" outlineLevel="0" collapsed="false">
      <c r="B51" s="32"/>
      <c r="C51" s="32"/>
      <c r="D51" s="32"/>
      <c r="E51" s="32"/>
      <c r="F51" s="32"/>
      <c r="G51" s="32"/>
    </row>
    <row r="52" customFormat="false" ht="15" hidden="false" customHeight="false" outlineLevel="0" collapsed="false">
      <c r="B52" s="32"/>
      <c r="C52" s="32"/>
      <c r="D52" s="32"/>
      <c r="E52" s="32"/>
      <c r="F52" s="32"/>
      <c r="G52" s="32"/>
    </row>
    <row r="53" customFormat="false" ht="15" hidden="false" customHeight="false" outlineLevel="0" collapsed="false">
      <c r="B53" s="32"/>
      <c r="C53" s="32"/>
      <c r="D53" s="32"/>
      <c r="E53" s="32"/>
      <c r="F53" s="32"/>
      <c r="G53" s="32"/>
    </row>
    <row r="54" customFormat="false" ht="15" hidden="false" customHeight="false" outlineLevel="0" collapsed="false">
      <c r="B54" s="32"/>
      <c r="C54" s="32"/>
      <c r="D54" s="32"/>
      <c r="E54" s="32"/>
      <c r="F54" s="32"/>
      <c r="G54" s="32"/>
    </row>
    <row r="55" customFormat="false" ht="15" hidden="false" customHeight="false" outlineLevel="0" collapsed="false">
      <c r="B55" s="32"/>
      <c r="C55" s="32"/>
      <c r="D55" s="32"/>
      <c r="E55" s="32"/>
      <c r="F55" s="32"/>
      <c r="G55" s="32"/>
    </row>
    <row r="56" customFormat="false" ht="15" hidden="false" customHeight="false" outlineLevel="0" collapsed="false">
      <c r="B56" s="32"/>
      <c r="C56" s="32"/>
      <c r="D56" s="32"/>
      <c r="E56" s="32"/>
      <c r="F56" s="32"/>
      <c r="G56" s="32"/>
    </row>
    <row r="57" customFormat="false" ht="15" hidden="false" customHeight="false" outlineLevel="0" collapsed="false">
      <c r="B57" s="32"/>
      <c r="C57" s="32"/>
      <c r="D57" s="32"/>
      <c r="E57" s="32"/>
      <c r="F57" s="32"/>
      <c r="G57" s="32"/>
    </row>
    <row r="58" customFormat="false" ht="15" hidden="false" customHeight="false" outlineLevel="0" collapsed="false">
      <c r="B58" s="32"/>
      <c r="C58" s="32"/>
      <c r="D58" s="32"/>
      <c r="E58" s="32"/>
      <c r="F58" s="32"/>
      <c r="G58" s="32"/>
    </row>
    <row r="59" customFormat="false" ht="15" hidden="false" customHeight="false" outlineLevel="0" collapsed="false">
      <c r="B59" s="32"/>
      <c r="C59" s="32"/>
      <c r="D59" s="32"/>
      <c r="E59" s="32"/>
      <c r="F59" s="32"/>
      <c r="G59" s="32"/>
    </row>
    <row r="60" customFormat="false" ht="15" hidden="false" customHeight="false" outlineLevel="0" collapsed="false">
      <c r="B60" s="32"/>
      <c r="C60" s="32"/>
      <c r="D60" s="32"/>
      <c r="E60" s="32"/>
      <c r="F60" s="32"/>
      <c r="G60" s="32"/>
    </row>
    <row r="61" customFormat="false" ht="15" hidden="false" customHeight="false" outlineLevel="0" collapsed="false">
      <c r="B61" s="32"/>
      <c r="C61" s="32"/>
      <c r="D61" s="32"/>
      <c r="E61" s="32"/>
      <c r="F61" s="32"/>
      <c r="G61" s="32"/>
    </row>
    <row r="62" customFormat="false" ht="15" hidden="false" customHeight="false" outlineLevel="0" collapsed="false">
      <c r="B62" s="32"/>
      <c r="C62" s="32"/>
      <c r="D62" s="32"/>
      <c r="E62" s="32"/>
      <c r="F62" s="32"/>
      <c r="G62" s="32"/>
    </row>
    <row r="64" customFormat="false" ht="15" hidden="false" customHeight="false" outlineLevel="0" collapsed="false">
      <c r="B64" s="31" t="s">
        <v>238</v>
      </c>
      <c r="C64" s="31"/>
      <c r="D64" s="31"/>
      <c r="E64" s="31" t="s">
        <v>239</v>
      </c>
      <c r="F64" s="31"/>
      <c r="G64" s="31"/>
    </row>
    <row r="65" customFormat="false" ht="199.5" hidden="false" customHeight="true" outlineLevel="0" collapsed="false">
      <c r="B65" s="32" t="s">
        <v>240</v>
      </c>
      <c r="C65" s="32"/>
      <c r="D65" s="32"/>
      <c r="E65" s="32" t="s">
        <v>241</v>
      </c>
      <c r="F65" s="32"/>
      <c r="G65" s="32"/>
    </row>
    <row r="66" customFormat="false" ht="15" hidden="false" customHeight="false" outlineLevel="0" collapsed="false">
      <c r="B66" s="32"/>
      <c r="C66" s="32"/>
      <c r="D66" s="32"/>
      <c r="E66" s="32"/>
      <c r="F66" s="32"/>
      <c r="G66" s="32"/>
    </row>
    <row r="67" customFormat="false" ht="15" hidden="false" customHeight="false" outlineLevel="0" collapsed="false">
      <c r="B67" s="32"/>
      <c r="C67" s="32"/>
      <c r="D67" s="32"/>
      <c r="E67" s="32"/>
      <c r="F67" s="32"/>
      <c r="G67" s="32"/>
    </row>
    <row r="68" customFormat="false" ht="15" hidden="false" customHeight="false" outlineLevel="0" collapsed="false">
      <c r="B68" s="32"/>
      <c r="C68" s="32"/>
      <c r="D68" s="32"/>
      <c r="E68" s="32"/>
      <c r="F68" s="32"/>
      <c r="G68" s="32"/>
    </row>
    <row r="69" customFormat="false" ht="15" hidden="false" customHeight="false" outlineLevel="0" collapsed="false">
      <c r="B69" s="32"/>
      <c r="C69" s="32"/>
      <c r="D69" s="32"/>
      <c r="E69" s="32"/>
      <c r="F69" s="32"/>
      <c r="G69" s="32"/>
    </row>
    <row r="70" customFormat="false" ht="15" hidden="false" customHeight="false" outlineLevel="0" collapsed="false">
      <c r="B70" s="32"/>
      <c r="C70" s="32"/>
      <c r="D70" s="32"/>
      <c r="E70" s="32"/>
      <c r="F70" s="32"/>
      <c r="G70" s="32"/>
    </row>
    <row r="71" customFormat="false" ht="15" hidden="false" customHeight="false" outlineLevel="0" collapsed="false">
      <c r="B71" s="32"/>
      <c r="C71" s="32"/>
      <c r="D71" s="32"/>
      <c r="E71" s="32"/>
      <c r="F71" s="32"/>
      <c r="G71" s="32"/>
    </row>
    <row r="72" customFormat="false" ht="15" hidden="false" customHeight="false" outlineLevel="0" collapsed="false">
      <c r="B72" s="32"/>
      <c r="C72" s="32"/>
      <c r="D72" s="32"/>
      <c r="E72" s="32"/>
      <c r="F72" s="32"/>
      <c r="G72" s="32"/>
    </row>
    <row r="73" customFormat="false" ht="15" hidden="false" customHeight="false" outlineLevel="0" collapsed="false">
      <c r="B73" s="32"/>
      <c r="C73" s="32"/>
      <c r="D73" s="32"/>
      <c r="E73" s="32"/>
      <c r="F73" s="32"/>
      <c r="G73" s="32"/>
    </row>
    <row r="74" customFormat="false" ht="15" hidden="false" customHeight="false" outlineLevel="0" collapsed="false">
      <c r="B74" s="32"/>
      <c r="C74" s="32"/>
      <c r="D74" s="32"/>
      <c r="E74" s="32"/>
      <c r="F74" s="32"/>
      <c r="G74" s="32"/>
    </row>
    <row r="75" customFormat="false" ht="15" hidden="false" customHeight="false" outlineLevel="0" collapsed="false">
      <c r="B75" s="32"/>
      <c r="C75" s="32"/>
      <c r="D75" s="32"/>
      <c r="E75" s="32"/>
      <c r="F75" s="32"/>
      <c r="G75" s="32"/>
    </row>
    <row r="76" customFormat="false" ht="15" hidden="false" customHeight="false" outlineLevel="0" collapsed="false">
      <c r="B76" s="32"/>
      <c r="C76" s="32"/>
      <c r="D76" s="32"/>
      <c r="E76" s="32"/>
      <c r="F76" s="32"/>
      <c r="G76" s="32"/>
    </row>
    <row r="77" customFormat="false" ht="15" hidden="false" customHeight="false" outlineLevel="0" collapsed="false">
      <c r="B77" s="32"/>
      <c r="C77" s="32"/>
      <c r="D77" s="32"/>
      <c r="E77" s="32"/>
      <c r="F77" s="32"/>
      <c r="G77" s="32"/>
    </row>
    <row r="78" customFormat="false" ht="15" hidden="false" customHeight="false" outlineLevel="0" collapsed="false">
      <c r="B78" s="32"/>
      <c r="C78" s="32"/>
      <c r="D78" s="32"/>
      <c r="E78" s="32"/>
      <c r="F78" s="32"/>
      <c r="G78" s="32"/>
    </row>
  </sheetData>
  <mergeCells count="15">
    <mergeCell ref="B2:G2"/>
    <mergeCell ref="B3:G3"/>
    <mergeCell ref="B5:G5"/>
    <mergeCell ref="B14:G14"/>
    <mergeCell ref="B25:G25"/>
    <mergeCell ref="B36:G36"/>
    <mergeCell ref="B46:G46"/>
    <mergeCell ref="B48:D48"/>
    <mergeCell ref="E48:G48"/>
    <mergeCell ref="B49:D62"/>
    <mergeCell ref="E49:G62"/>
    <mergeCell ref="B64:D64"/>
    <mergeCell ref="E64:G64"/>
    <mergeCell ref="B65:D78"/>
    <mergeCell ref="E65:G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4"/>
    <col collapsed="false" customWidth="true" hidden="false" outlineLevel="0" max="10" min="9" style="0" width="18"/>
  </cols>
  <sheetData>
    <row r="2" customFormat="false" ht="17.35" hidden="false" customHeight="true" outlineLevel="0" collapsed="false">
      <c r="B2" s="23" t="s">
        <v>242</v>
      </c>
      <c r="C2" s="23"/>
      <c r="D2" s="23"/>
      <c r="E2" s="23"/>
      <c r="F2" s="23"/>
      <c r="G2" s="23"/>
      <c r="H2" s="23"/>
      <c r="I2" s="23"/>
    </row>
    <row r="3" customFormat="false" ht="15" hidden="false" customHeight="false" outlineLevel="0" collapsed="false">
      <c r="B3" s="33" t="s">
        <v>243</v>
      </c>
      <c r="C3" s="33"/>
      <c r="D3" s="33"/>
      <c r="E3" s="33"/>
      <c r="F3" s="33"/>
      <c r="G3" s="33"/>
      <c r="H3" s="33"/>
      <c r="I3" s="33"/>
    </row>
    <row r="5" customFormat="false" ht="15" hidden="false" customHeight="true" outlineLevel="0" collapsed="false">
      <c r="B5" s="4" t="s">
        <v>244</v>
      </c>
      <c r="C5" s="4"/>
      <c r="D5" s="4"/>
      <c r="E5" s="4"/>
      <c r="G5" s="34" t="s">
        <v>245</v>
      </c>
      <c r="H5" s="34"/>
      <c r="I5" s="34"/>
    </row>
    <row r="6" customFormat="false" ht="15" hidden="false" customHeight="true" outlineLevel="0" collapsed="false">
      <c r="B6" s="7" t="s">
        <v>246</v>
      </c>
      <c r="C6" s="7" t="s">
        <v>81</v>
      </c>
      <c r="D6" s="7" t="s">
        <v>247</v>
      </c>
      <c r="E6" s="7" t="s">
        <v>82</v>
      </c>
      <c r="G6" s="35" t="s">
        <v>248</v>
      </c>
      <c r="H6" s="35"/>
      <c r="I6" s="35"/>
    </row>
    <row r="7" customFormat="false" ht="15" hidden="false" customHeight="false" outlineLevel="0" collapsed="false">
      <c r="B7" s="36" t="s">
        <v>249</v>
      </c>
      <c r="C7" s="37" t="s">
        <v>250</v>
      </c>
      <c r="D7" s="5" t="n">
        <v>3</v>
      </c>
      <c r="E7" s="36" t="s">
        <v>88</v>
      </c>
      <c r="G7" s="35"/>
      <c r="H7" s="35"/>
      <c r="I7" s="35"/>
    </row>
    <row r="8" customFormat="false" ht="15" hidden="false" customHeight="false" outlineLevel="0" collapsed="false">
      <c r="B8" s="36" t="s">
        <v>251</v>
      </c>
      <c r="C8" s="37" t="s">
        <v>252</v>
      </c>
      <c r="D8" s="5" t="n">
        <v>0.7</v>
      </c>
      <c r="E8" s="36" t="s">
        <v>253</v>
      </c>
      <c r="G8" s="35"/>
      <c r="H8" s="35"/>
      <c r="I8" s="35"/>
    </row>
    <row r="9" customFormat="false" ht="15" hidden="false" customHeight="false" outlineLevel="0" collapsed="false">
      <c r="B9" s="36" t="s">
        <v>254</v>
      </c>
      <c r="C9" s="37" t="s">
        <v>255</v>
      </c>
      <c r="D9" s="5" t="n">
        <v>10500</v>
      </c>
      <c r="E9" s="36" t="s">
        <v>98</v>
      </c>
      <c r="G9" s="35"/>
      <c r="H9" s="35"/>
      <c r="I9" s="35"/>
    </row>
    <row r="10" customFormat="false" ht="15" hidden="false" customHeight="false" outlineLevel="0" collapsed="false">
      <c r="B10" s="36" t="s">
        <v>256</v>
      </c>
      <c r="C10" s="37" t="s">
        <v>257</v>
      </c>
      <c r="D10" s="5" t="n">
        <v>0</v>
      </c>
      <c r="E10" s="36" t="s">
        <v>88</v>
      </c>
      <c r="G10" s="35"/>
      <c r="H10" s="35"/>
      <c r="I10" s="35"/>
    </row>
    <row r="11" customFormat="false" ht="15" hidden="false" customHeight="false" outlineLevel="0" collapsed="false">
      <c r="B11" s="36" t="s">
        <v>258</v>
      </c>
      <c r="C11" s="37" t="s">
        <v>259</v>
      </c>
      <c r="D11" s="5" t="n">
        <v>3.5</v>
      </c>
      <c r="E11" s="36" t="s">
        <v>88</v>
      </c>
      <c r="G11" s="35"/>
      <c r="H11" s="35"/>
      <c r="I11" s="35"/>
    </row>
    <row r="12" customFormat="false" ht="15" hidden="false" customHeight="false" outlineLevel="0" collapsed="false">
      <c r="B12" s="36" t="s">
        <v>260</v>
      </c>
      <c r="C12" s="37" t="s">
        <v>261</v>
      </c>
      <c r="D12" s="5" t="n">
        <v>0.1</v>
      </c>
      <c r="E12" s="36" t="s">
        <v>88</v>
      </c>
      <c r="G12" s="35"/>
      <c r="H12" s="35"/>
      <c r="I12" s="35"/>
    </row>
    <row r="13" customFormat="false" ht="15" hidden="false" customHeight="false" outlineLevel="0" collapsed="false">
      <c r="B13" s="36" t="s">
        <v>262</v>
      </c>
      <c r="C13" s="37" t="s">
        <v>88</v>
      </c>
      <c r="D13" s="5" t="n">
        <v>2</v>
      </c>
      <c r="E13" s="36" t="s">
        <v>20</v>
      </c>
    </row>
    <row r="15" customFormat="false" ht="15" hidden="false" customHeight="true" outlineLevel="0" collapsed="false">
      <c r="B15" s="4" t="s">
        <v>263</v>
      </c>
      <c r="C15" s="4"/>
      <c r="D15" s="4"/>
      <c r="E15" s="4"/>
    </row>
    <row r="16" customFormat="false" ht="15" hidden="false" customHeight="false" outlineLevel="0" collapsed="false">
      <c r="B16" s="7" t="s">
        <v>264</v>
      </c>
      <c r="C16" s="7" t="s">
        <v>81</v>
      </c>
      <c r="D16" s="7" t="s">
        <v>247</v>
      </c>
      <c r="E16" s="7" t="s">
        <v>265</v>
      </c>
    </row>
    <row r="17" customFormat="false" ht="15" hidden="false" customHeight="false" outlineLevel="0" collapsed="false">
      <c r="B17" s="38" t="s">
        <v>266</v>
      </c>
      <c r="C17" s="38" t="s">
        <v>267</v>
      </c>
      <c r="D17" s="39" t="n">
        <f aca="false">(D8*D7-D9)/((D13-1)*D7^D13)</f>
        <v>-1166.43333333333</v>
      </c>
      <c r="E17" s="40" t="s">
        <v>268</v>
      </c>
    </row>
    <row r="18" customFormat="false" ht="15" hidden="false" customHeight="false" outlineLevel="0" collapsed="false">
      <c r="B18" s="38" t="s">
        <v>269</v>
      </c>
      <c r="C18" s="38" t="s">
        <v>270</v>
      </c>
      <c r="D18" s="39" t="n">
        <f aca="false">(D9/D7)*(D13/(D13-1)) - D8*((D13/(D13-1))-1)</f>
        <v>6999.3</v>
      </c>
      <c r="E18" s="40" t="s">
        <v>253</v>
      </c>
    </row>
    <row r="19" customFormat="false" ht="15" hidden="false" customHeight="false" outlineLevel="0" collapsed="false">
      <c r="B19" s="38" t="s">
        <v>271</v>
      </c>
      <c r="C19" s="38" t="s">
        <v>272</v>
      </c>
      <c r="D19" s="39" t="n">
        <f aca="false">D7*D8/D9</f>
        <v>0.0002</v>
      </c>
      <c r="E19" s="40" t="s">
        <v>273</v>
      </c>
    </row>
    <row r="21" customFormat="false" ht="26.85" hidden="false" customHeight="true" outlineLevel="0" collapsed="false">
      <c r="B21" s="4" t="s">
        <v>274</v>
      </c>
      <c r="C21" s="4"/>
      <c r="D21" s="4"/>
      <c r="E21" s="4"/>
      <c r="F21" s="4"/>
    </row>
    <row r="22" customFormat="false" ht="26.85" hidden="false" customHeight="false" outlineLevel="0" collapsed="false">
      <c r="B22" s="7" t="s">
        <v>275</v>
      </c>
      <c r="C22" s="7" t="s">
        <v>276</v>
      </c>
      <c r="D22" s="7" t="s">
        <v>277</v>
      </c>
      <c r="E22" s="7" t="s">
        <v>278</v>
      </c>
      <c r="F22" s="7" t="s">
        <v>279</v>
      </c>
    </row>
    <row r="23" customFormat="false" ht="15" hidden="false" customHeight="false" outlineLevel="0" collapsed="false">
      <c r="B23" s="39" t="n">
        <v>0</v>
      </c>
      <c r="C23" s="39" t="n">
        <f aca="false">$D$10+B23</f>
        <v>0</v>
      </c>
      <c r="D23" s="39" t="n">
        <f aca="false">$D$18+$D$13*$D$17*B23^($D$13-1)</f>
        <v>6999.3</v>
      </c>
      <c r="E23" s="39" t="n">
        <f aca="false">$D$18*B23+$D$17*B23^$D$13</f>
        <v>0</v>
      </c>
      <c r="F23" s="40" t="s">
        <v>257</v>
      </c>
    </row>
    <row r="24" customFormat="false" ht="15" hidden="false" customHeight="false" outlineLevel="0" collapsed="false">
      <c r="B24" s="39" t="n">
        <f aca="false">B23+$D$12</f>
        <v>0.1</v>
      </c>
      <c r="C24" s="39" t="n">
        <f aca="false">$D$10+B24</f>
        <v>0.1</v>
      </c>
      <c r="D24" s="39" t="n">
        <f aca="false">$D$18+$D$13*$D$17*B24^($D$13-1)</f>
        <v>6766.01333333333</v>
      </c>
      <c r="E24" s="39" t="n">
        <f aca="false">$D$18*B24+$D$17*B24^$D$13</f>
        <v>688.265666666667</v>
      </c>
      <c r="F24" s="40" t="str">
        <f aca="false">IF(C24&gt;=$D$11,"Crest or above","")</f>
        <v/>
      </c>
    </row>
    <row r="25" customFormat="false" ht="15" hidden="false" customHeight="false" outlineLevel="0" collapsed="false">
      <c r="B25" s="39" t="n">
        <f aca="false">B24+$D$12</f>
        <v>0.2</v>
      </c>
      <c r="C25" s="39" t="n">
        <f aca="false">$D$10+B25</f>
        <v>0.2</v>
      </c>
      <c r="D25" s="39" t="n">
        <f aca="false">$D$18+$D$13*$D$17*B25^($D$13-1)</f>
        <v>6532.72666666667</v>
      </c>
      <c r="E25" s="39" t="n">
        <f aca="false">$D$18*B25+$D$17*B25^$D$13</f>
        <v>1353.20266666667</v>
      </c>
      <c r="F25" s="40" t="str">
        <f aca="false">IF(C25&gt;=$D$11,"Crest or above","")</f>
        <v/>
      </c>
    </row>
    <row r="26" customFormat="false" ht="15" hidden="false" customHeight="false" outlineLevel="0" collapsed="false">
      <c r="B26" s="39" t="n">
        <f aca="false">B25+$D$12</f>
        <v>0.3</v>
      </c>
      <c r="C26" s="39" t="n">
        <f aca="false">$D$10+B26</f>
        <v>0.3</v>
      </c>
      <c r="D26" s="39" t="n">
        <f aca="false">$D$18+$D$13*$D$17*B26^($D$13-1)</f>
        <v>6299.44</v>
      </c>
      <c r="E26" s="39" t="n">
        <f aca="false">$D$18*B26+$D$17*B26^$D$13</f>
        <v>1994.811</v>
      </c>
      <c r="F26" s="40" t="str">
        <f aca="false">IF(C26&gt;=$D$11,"Crest or above","")</f>
        <v/>
      </c>
    </row>
    <row r="27" customFormat="false" ht="15" hidden="false" customHeight="false" outlineLevel="0" collapsed="false">
      <c r="B27" s="39" t="n">
        <f aca="false">B26+$D$12</f>
        <v>0.4</v>
      </c>
      <c r="C27" s="39" t="n">
        <f aca="false">$D$10+B27</f>
        <v>0.4</v>
      </c>
      <c r="D27" s="39" t="n">
        <f aca="false">$D$18+$D$13*$D$17*B27^($D$13-1)</f>
        <v>6066.15333333333</v>
      </c>
      <c r="E27" s="39" t="n">
        <f aca="false">$D$18*B27+$D$17*B27^$D$13</f>
        <v>2613.09066666667</v>
      </c>
      <c r="F27" s="40" t="str">
        <f aca="false">IF(C27&gt;=$D$11,"Crest or above","")</f>
        <v/>
      </c>
    </row>
    <row r="28" customFormat="false" ht="15" hidden="false" customHeight="false" outlineLevel="0" collapsed="false">
      <c r="B28" s="39" t="n">
        <f aca="false">B27+$D$12</f>
        <v>0.5</v>
      </c>
      <c r="C28" s="39" t="n">
        <f aca="false">$D$10+B28</f>
        <v>0.5</v>
      </c>
      <c r="D28" s="39" t="n">
        <f aca="false">$D$18+$D$13*$D$17*B28^($D$13-1)</f>
        <v>5832.86666666667</v>
      </c>
      <c r="E28" s="39" t="n">
        <f aca="false">$D$18*B28+$D$17*B28^$D$13</f>
        <v>3208.04166666667</v>
      </c>
      <c r="F28" s="40" t="str">
        <f aca="false">IF(C28&gt;=$D$11,"Crest or above","")</f>
        <v/>
      </c>
    </row>
    <row r="29" customFormat="false" ht="15" hidden="false" customHeight="false" outlineLevel="0" collapsed="false">
      <c r="B29" s="39" t="n">
        <f aca="false">B28+$D$12</f>
        <v>0.6</v>
      </c>
      <c r="C29" s="39" t="n">
        <f aca="false">$D$10+B29</f>
        <v>0.6</v>
      </c>
      <c r="D29" s="39" t="n">
        <f aca="false">$D$18+$D$13*$D$17*B29^($D$13-1)</f>
        <v>5599.58</v>
      </c>
      <c r="E29" s="39" t="n">
        <f aca="false">$D$18*B29+$D$17*B29^$D$13</f>
        <v>3779.664</v>
      </c>
      <c r="F29" s="40" t="str">
        <f aca="false">IF(C29&gt;=$D$11,"Crest or above","")</f>
        <v/>
      </c>
    </row>
    <row r="30" customFormat="false" ht="15" hidden="false" customHeight="false" outlineLevel="0" collapsed="false">
      <c r="B30" s="39" t="n">
        <f aca="false">B29+$D$12</f>
        <v>0.7</v>
      </c>
      <c r="C30" s="39" t="n">
        <f aca="false">$D$10+B30</f>
        <v>0.7</v>
      </c>
      <c r="D30" s="39" t="n">
        <f aca="false">$D$18+$D$13*$D$17*B30^($D$13-1)</f>
        <v>5366.29333333333</v>
      </c>
      <c r="E30" s="39" t="n">
        <f aca="false">$D$18*B30+$D$17*B30^$D$13</f>
        <v>4327.95766666667</v>
      </c>
      <c r="F30" s="40" t="str">
        <f aca="false">IF(C30&gt;=$D$11,"Crest or above","")</f>
        <v/>
      </c>
    </row>
    <row r="31" customFormat="false" ht="15" hidden="false" customHeight="false" outlineLevel="0" collapsed="false">
      <c r="B31" s="39" t="n">
        <f aca="false">B30+$D$12</f>
        <v>0.8</v>
      </c>
      <c r="C31" s="39" t="n">
        <f aca="false">$D$10+B31</f>
        <v>0.8</v>
      </c>
      <c r="D31" s="39" t="n">
        <f aca="false">$D$18+$D$13*$D$17*B31^($D$13-1)</f>
        <v>5133.00666666667</v>
      </c>
      <c r="E31" s="39" t="n">
        <f aca="false">$D$18*B31+$D$17*B31^$D$13</f>
        <v>4852.92266666667</v>
      </c>
      <c r="F31" s="40" t="str">
        <f aca="false">IF(C31&gt;=$D$11,"Crest or above","")</f>
        <v/>
      </c>
    </row>
    <row r="32" customFormat="false" ht="15" hidden="false" customHeight="false" outlineLevel="0" collapsed="false">
      <c r="B32" s="39" t="n">
        <f aca="false">B31+$D$12</f>
        <v>0.9</v>
      </c>
      <c r="C32" s="39" t="n">
        <f aca="false">$D$10+B32</f>
        <v>0.9</v>
      </c>
      <c r="D32" s="39" t="n">
        <f aca="false">$D$18+$D$13*$D$17*B32^($D$13-1)</f>
        <v>4899.72</v>
      </c>
      <c r="E32" s="39" t="n">
        <f aca="false">$D$18*B32+$D$17*B32^$D$13</f>
        <v>5354.559</v>
      </c>
      <c r="F32" s="40" t="str">
        <f aca="false">IF(C32&gt;=$D$11,"Crest or above","")</f>
        <v/>
      </c>
    </row>
    <row r="33" customFormat="false" ht="15" hidden="false" customHeight="false" outlineLevel="0" collapsed="false">
      <c r="B33" s="39" t="n">
        <f aca="false">B32+$D$12</f>
        <v>1</v>
      </c>
      <c r="C33" s="39" t="n">
        <f aca="false">$D$10+B33</f>
        <v>1</v>
      </c>
      <c r="D33" s="39" t="n">
        <f aca="false">$D$18+$D$13*$D$17*B33^($D$13-1)</f>
        <v>4666.43333333333</v>
      </c>
      <c r="E33" s="39" t="n">
        <f aca="false">$D$18*B33+$D$17*B33^$D$13</f>
        <v>5832.86666666667</v>
      </c>
      <c r="F33" s="40" t="str">
        <f aca="false">IF(C33&gt;=$D$11,"Crest or above","")</f>
        <v/>
      </c>
    </row>
    <row r="34" customFormat="false" ht="15" hidden="false" customHeight="false" outlineLevel="0" collapsed="false">
      <c r="B34" s="39" t="n">
        <f aca="false">B33+$D$12</f>
        <v>1.1</v>
      </c>
      <c r="C34" s="39" t="n">
        <f aca="false">$D$10+B34</f>
        <v>1.1</v>
      </c>
      <c r="D34" s="39" t="n">
        <f aca="false">$D$18+$D$13*$D$17*B34^($D$13-1)</f>
        <v>4433.14666666667</v>
      </c>
      <c r="E34" s="39" t="n">
        <f aca="false">$D$18*B34+$D$17*B34^$D$13</f>
        <v>6287.84566666667</v>
      </c>
      <c r="F34" s="40" t="str">
        <f aca="false">IF(C34&gt;=$D$11,"Crest or above","")</f>
        <v/>
      </c>
    </row>
    <row r="35" customFormat="false" ht="15" hidden="false" customHeight="false" outlineLevel="0" collapsed="false">
      <c r="B35" s="39" t="n">
        <f aca="false">B34+$D$12</f>
        <v>1.2</v>
      </c>
      <c r="C35" s="39" t="n">
        <f aca="false">$D$10+B35</f>
        <v>1.2</v>
      </c>
      <c r="D35" s="39" t="n">
        <f aca="false">$D$18+$D$13*$D$17*B35^($D$13-1)</f>
        <v>4199.86</v>
      </c>
      <c r="E35" s="39" t="n">
        <f aca="false">$D$18*B35+$D$17*B35^$D$13</f>
        <v>6719.496</v>
      </c>
      <c r="F35" s="40" t="str">
        <f aca="false">IF(C35&gt;=$D$11,"Crest or above","")</f>
        <v/>
      </c>
    </row>
    <row r="36" customFormat="false" ht="15" hidden="false" customHeight="false" outlineLevel="0" collapsed="false">
      <c r="B36" s="39" t="n">
        <f aca="false">B35+$D$12</f>
        <v>1.3</v>
      </c>
      <c r="C36" s="39" t="n">
        <f aca="false">$D$10+B36</f>
        <v>1.3</v>
      </c>
      <c r="D36" s="39" t="n">
        <f aca="false">$D$18+$D$13*$D$17*B36^($D$13-1)</f>
        <v>3966.57333333333</v>
      </c>
      <c r="E36" s="39" t="n">
        <f aca="false">$D$18*B36+$D$17*B36^$D$13</f>
        <v>7127.81766666667</v>
      </c>
      <c r="F36" s="40" t="str">
        <f aca="false">IF(C36&gt;=$D$11,"Crest or above","")</f>
        <v/>
      </c>
    </row>
    <row r="37" customFormat="false" ht="15" hidden="false" customHeight="false" outlineLevel="0" collapsed="false">
      <c r="B37" s="39" t="n">
        <f aca="false">B36+$D$12</f>
        <v>1.4</v>
      </c>
      <c r="C37" s="39" t="n">
        <f aca="false">$D$10+B37</f>
        <v>1.4</v>
      </c>
      <c r="D37" s="39" t="n">
        <f aca="false">$D$18+$D$13*$D$17*B37^($D$13-1)</f>
        <v>3733.28666666667</v>
      </c>
      <c r="E37" s="39" t="n">
        <f aca="false">$D$18*B37+$D$17*B37^$D$13</f>
        <v>7512.81066666667</v>
      </c>
      <c r="F37" s="40" t="str">
        <f aca="false">IF(C37&gt;=$D$11,"Crest or above","")</f>
        <v/>
      </c>
    </row>
    <row r="38" customFormat="false" ht="15" hidden="false" customHeight="false" outlineLevel="0" collapsed="false">
      <c r="B38" s="39" t="n">
        <f aca="false">B37+$D$12</f>
        <v>1.5</v>
      </c>
      <c r="C38" s="39" t="n">
        <f aca="false">$D$10+B38</f>
        <v>1.5</v>
      </c>
      <c r="D38" s="39" t="n">
        <f aca="false">$D$18+$D$13*$D$17*B38^($D$13-1)</f>
        <v>3500</v>
      </c>
      <c r="E38" s="39" t="n">
        <f aca="false">$D$18*B38+$D$17*B38^$D$13</f>
        <v>7874.475</v>
      </c>
      <c r="F38" s="40" t="str">
        <f aca="false">IF(C38&gt;=$D$11,"Crest or above","")</f>
        <v/>
      </c>
    </row>
    <row r="39" customFormat="false" ht="15" hidden="false" customHeight="false" outlineLevel="0" collapsed="false">
      <c r="B39" s="39" t="n">
        <f aca="false">B38+$D$12</f>
        <v>1.6</v>
      </c>
      <c r="C39" s="39" t="n">
        <f aca="false">$D$10+B39</f>
        <v>1.6</v>
      </c>
      <c r="D39" s="39" t="n">
        <f aca="false">$D$18+$D$13*$D$17*B39^($D$13-1)</f>
        <v>3266.71333333333</v>
      </c>
      <c r="E39" s="39" t="n">
        <f aca="false">$D$18*B39+$D$17*B39^$D$13</f>
        <v>8212.81066666667</v>
      </c>
      <c r="F39" s="40" t="str">
        <f aca="false">IF(C39&gt;=$D$11,"Crest or above","")</f>
        <v/>
      </c>
    </row>
    <row r="40" customFormat="false" ht="15" hidden="false" customHeight="false" outlineLevel="0" collapsed="false">
      <c r="B40" s="39" t="n">
        <f aca="false">B39+$D$12</f>
        <v>1.7</v>
      </c>
      <c r="C40" s="39" t="n">
        <f aca="false">$D$10+B40</f>
        <v>1.7</v>
      </c>
      <c r="D40" s="39" t="n">
        <f aca="false">$D$18+$D$13*$D$17*B40^($D$13-1)</f>
        <v>3033.42666666667</v>
      </c>
      <c r="E40" s="39" t="n">
        <f aca="false">$D$18*B40+$D$17*B40^$D$13</f>
        <v>8527.81766666667</v>
      </c>
      <c r="F40" s="40" t="str">
        <f aca="false">IF(C40&gt;=$D$11,"Crest or above","")</f>
        <v/>
      </c>
    </row>
    <row r="41" customFormat="false" ht="15" hidden="false" customHeight="false" outlineLevel="0" collapsed="false">
      <c r="B41" s="39" t="n">
        <f aca="false">B40+$D$12</f>
        <v>1.8</v>
      </c>
      <c r="C41" s="39" t="n">
        <f aca="false">$D$10+B41</f>
        <v>1.8</v>
      </c>
      <c r="D41" s="39" t="n">
        <f aca="false">$D$18+$D$13*$D$17*B41^($D$13-1)</f>
        <v>2800.14</v>
      </c>
      <c r="E41" s="39" t="n">
        <f aca="false">$D$18*B41+$D$17*B41^$D$13</f>
        <v>8819.496</v>
      </c>
      <c r="F41" s="40" t="str">
        <f aca="false">IF(C41&gt;=$D$11,"Crest or above","")</f>
        <v/>
      </c>
    </row>
    <row r="42" customFormat="false" ht="15" hidden="false" customHeight="false" outlineLevel="0" collapsed="false">
      <c r="B42" s="39" t="n">
        <f aca="false">B41+$D$12</f>
        <v>1.9</v>
      </c>
      <c r="C42" s="39" t="n">
        <f aca="false">$D$10+B42</f>
        <v>1.9</v>
      </c>
      <c r="D42" s="39" t="n">
        <f aca="false">$D$18+$D$13*$D$17*B42^($D$13-1)</f>
        <v>2566.85333333333</v>
      </c>
      <c r="E42" s="39" t="n">
        <f aca="false">$D$18*B42+$D$17*B42^$D$13</f>
        <v>9087.84566666667</v>
      </c>
      <c r="F42" s="40" t="str">
        <f aca="false">IF(C42&gt;=$D$11,"Crest or above","")</f>
        <v/>
      </c>
    </row>
    <row r="43" customFormat="false" ht="15" hidden="false" customHeight="false" outlineLevel="0" collapsed="false">
      <c r="B43" s="39" t="n">
        <f aca="false">B42+$D$12</f>
        <v>2</v>
      </c>
      <c r="C43" s="39" t="n">
        <f aca="false">$D$10+B43</f>
        <v>2</v>
      </c>
      <c r="D43" s="39" t="n">
        <f aca="false">$D$18+$D$13*$D$17*B43^($D$13-1)</f>
        <v>2333.56666666667</v>
      </c>
      <c r="E43" s="39" t="n">
        <f aca="false">$D$18*B43+$D$17*B43^$D$13</f>
        <v>9332.86666666667</v>
      </c>
      <c r="F43" s="40" t="str">
        <f aca="false">IF(C43&gt;=$D$11,"Crest or above","")</f>
        <v/>
      </c>
    </row>
    <row r="44" customFormat="false" ht="15" hidden="false" customHeight="false" outlineLevel="0" collapsed="false">
      <c r="B44" s="39" t="n">
        <f aca="false">B43+$D$12</f>
        <v>2.1</v>
      </c>
      <c r="C44" s="39" t="n">
        <f aca="false">$D$10+B44</f>
        <v>2.1</v>
      </c>
      <c r="D44" s="39" t="n">
        <f aca="false">$D$18+$D$13*$D$17*B44^($D$13-1)</f>
        <v>2100.28</v>
      </c>
      <c r="E44" s="39" t="n">
        <f aca="false">$D$18*B44+$D$17*B44^$D$13</f>
        <v>9554.559</v>
      </c>
      <c r="F44" s="40" t="str">
        <f aca="false">IF(C44&gt;=$D$11,"Crest or above","")</f>
        <v/>
      </c>
    </row>
    <row r="45" customFormat="false" ht="15" hidden="false" customHeight="false" outlineLevel="0" collapsed="false">
      <c r="B45" s="39" t="n">
        <f aca="false">B44+$D$12</f>
        <v>2.2</v>
      </c>
      <c r="C45" s="39" t="n">
        <f aca="false">$D$10+B45</f>
        <v>2.2</v>
      </c>
      <c r="D45" s="39" t="n">
        <f aca="false">$D$18+$D$13*$D$17*B45^($D$13-1)</f>
        <v>1866.99333333333</v>
      </c>
      <c r="E45" s="39" t="n">
        <f aca="false">$D$18*B45+$D$17*B45^$D$13</f>
        <v>9752.92266666667</v>
      </c>
      <c r="F45" s="40" t="str">
        <f aca="false">IF(C45&gt;=$D$11,"Crest or above","")</f>
        <v/>
      </c>
    </row>
    <row r="46" customFormat="false" ht="15" hidden="false" customHeight="false" outlineLevel="0" collapsed="false">
      <c r="B46" s="39" t="n">
        <f aca="false">B45+$D$12</f>
        <v>2.3</v>
      </c>
      <c r="C46" s="39" t="n">
        <f aca="false">$D$10+B46</f>
        <v>2.3</v>
      </c>
      <c r="D46" s="39" t="n">
        <f aca="false">$D$18+$D$13*$D$17*B46^($D$13-1)</f>
        <v>1633.70666666667</v>
      </c>
      <c r="E46" s="39" t="n">
        <f aca="false">$D$18*B46+$D$17*B46^$D$13</f>
        <v>9927.95766666667</v>
      </c>
      <c r="F46" s="40" t="str">
        <f aca="false">IF(C46&gt;=$D$11,"Crest or above","")</f>
        <v/>
      </c>
    </row>
    <row r="47" customFormat="false" ht="15" hidden="false" customHeight="false" outlineLevel="0" collapsed="false">
      <c r="B47" s="39" t="n">
        <f aca="false">B46+$D$12</f>
        <v>2.4</v>
      </c>
      <c r="C47" s="39" t="n">
        <f aca="false">$D$10+B47</f>
        <v>2.4</v>
      </c>
      <c r="D47" s="39" t="n">
        <f aca="false">$D$18+$D$13*$D$17*B47^($D$13-1)</f>
        <v>1400.42</v>
      </c>
      <c r="E47" s="39" t="n">
        <f aca="false">$D$18*B47+$D$17*B47^$D$13</f>
        <v>10079.664</v>
      </c>
      <c r="F47" s="40" t="str">
        <f aca="false">IF(C47&gt;=$D$11,"Crest or above","")</f>
        <v/>
      </c>
    </row>
    <row r="48" customFormat="false" ht="15" hidden="false" customHeight="false" outlineLevel="0" collapsed="false">
      <c r="B48" s="39" t="n">
        <f aca="false">B47+$D$12</f>
        <v>2.5</v>
      </c>
      <c r="C48" s="39" t="n">
        <f aca="false">$D$10+B48</f>
        <v>2.5</v>
      </c>
      <c r="D48" s="39" t="n">
        <f aca="false">$D$18+$D$13*$D$17*B48^($D$13-1)</f>
        <v>1167.13333333333</v>
      </c>
      <c r="E48" s="39" t="n">
        <f aca="false">$D$18*B48+$D$17*B48^$D$13</f>
        <v>10208.0416666667</v>
      </c>
      <c r="F48" s="40" t="str">
        <f aca="false">IF(C48&gt;=$D$11,"Crest or above","")</f>
        <v/>
      </c>
    </row>
    <row r="49" customFormat="false" ht="15" hidden="false" customHeight="false" outlineLevel="0" collapsed="false">
      <c r="B49" s="39" t="n">
        <f aca="false">B48+$D$12</f>
        <v>2.6</v>
      </c>
      <c r="C49" s="39" t="n">
        <f aca="false">$D$10+B49</f>
        <v>2.6</v>
      </c>
      <c r="D49" s="39" t="n">
        <f aca="false">$D$18+$D$13*$D$17*B49^($D$13-1)</f>
        <v>933.846666666665</v>
      </c>
      <c r="E49" s="39" t="n">
        <f aca="false">$D$18*B49+$D$17*B49^$D$13</f>
        <v>10313.0906666667</v>
      </c>
      <c r="F49" s="40" t="str">
        <f aca="false">IF(C49&gt;=$D$11,"Crest or above","")</f>
        <v/>
      </c>
    </row>
    <row r="50" customFormat="false" ht="15" hidden="false" customHeight="false" outlineLevel="0" collapsed="false">
      <c r="B50" s="39" t="n">
        <f aca="false">B49+$D$12</f>
        <v>2.7</v>
      </c>
      <c r="C50" s="39" t="n">
        <f aca="false">$D$10+B50</f>
        <v>2.7</v>
      </c>
      <c r="D50" s="39" t="n">
        <f aca="false">$D$18+$D$13*$D$17*B50^($D$13-1)</f>
        <v>700.559999999998</v>
      </c>
      <c r="E50" s="39" t="n">
        <f aca="false">$D$18*B50+$D$17*B50^$D$13</f>
        <v>10394.811</v>
      </c>
      <c r="F50" s="40" t="str">
        <f aca="false">IF(C50&gt;=$D$11,"Crest or above","")</f>
        <v/>
      </c>
    </row>
    <row r="51" customFormat="false" ht="15" hidden="false" customHeight="false" outlineLevel="0" collapsed="false">
      <c r="B51" s="39" t="n">
        <f aca="false">B50+$D$12</f>
        <v>2.8</v>
      </c>
      <c r="C51" s="39" t="n">
        <f aca="false">$D$10+B51</f>
        <v>2.8</v>
      </c>
      <c r="D51" s="39" t="n">
        <f aca="false">$D$18+$D$13*$D$17*B51^($D$13-1)</f>
        <v>467.273333333331</v>
      </c>
      <c r="E51" s="39" t="n">
        <f aca="false">$D$18*B51+$D$17*B51^$D$13</f>
        <v>10453.2026666667</v>
      </c>
      <c r="F51" s="40" t="str">
        <f aca="false">IF(C51&gt;=$D$11,"Crest or above","")</f>
        <v/>
      </c>
    </row>
    <row r="52" customFormat="false" ht="15" hidden="false" customHeight="false" outlineLevel="0" collapsed="false">
      <c r="B52" s="39" t="n">
        <f aca="false">B51+$D$12</f>
        <v>2.9</v>
      </c>
      <c r="C52" s="39" t="n">
        <f aca="false">$D$10+B52</f>
        <v>2.9</v>
      </c>
      <c r="D52" s="39" t="n">
        <f aca="false">$D$18+$D$13*$D$17*B52^($D$13-1)</f>
        <v>233.986666666664</v>
      </c>
      <c r="E52" s="39" t="n">
        <f aca="false">$D$18*B52+$D$17*B52^$D$13</f>
        <v>10488.2656666667</v>
      </c>
      <c r="F52" s="40" t="str">
        <f aca="false">IF(C52&gt;=$D$11,"Crest or above","")</f>
        <v/>
      </c>
    </row>
    <row r="53" customFormat="false" ht="15" hidden="false" customHeight="false" outlineLevel="0" collapsed="false">
      <c r="B53" s="39" t="n">
        <f aca="false">B52+$D$12</f>
        <v>3</v>
      </c>
      <c r="C53" s="39" t="n">
        <f aca="false">$D$10+B53</f>
        <v>3</v>
      </c>
      <c r="D53" s="39" t="n">
        <f aca="false">$D$18+$D$13*$D$17*B53^($D$13-1)</f>
        <v>0.69999999999709</v>
      </c>
      <c r="E53" s="39" t="n">
        <f aca="false">$D$18*B53+$D$17*B53^$D$13</f>
        <v>10500</v>
      </c>
      <c r="F53" s="40" t="str">
        <f aca="false">IF(C53&gt;=$D$11,"Crest or above","")</f>
        <v/>
      </c>
    </row>
    <row r="54" customFormat="false" ht="15" hidden="false" customHeight="false" outlineLevel="0" collapsed="false">
      <c r="B54" s="39" t="n">
        <f aca="false">B53+$D$12</f>
        <v>3.1</v>
      </c>
      <c r="C54" s="39" t="n">
        <f aca="false">$D$10+B54</f>
        <v>3.1</v>
      </c>
      <c r="D54" s="39" t="n">
        <f aca="false">$D$18+$D$13*$D$17*B54^($D$13-1)</f>
        <v>-232.58666666667</v>
      </c>
      <c r="E54" s="39" t="n">
        <f aca="false">$D$18*B54+$D$17*B54^$D$13</f>
        <v>10488.4056666667</v>
      </c>
      <c r="F54" s="40" t="str">
        <f aca="false">IF(C54&gt;=$D$11,"Crest or above","")</f>
        <v/>
      </c>
    </row>
    <row r="55" customFormat="false" ht="15" hidden="false" customHeight="false" outlineLevel="0" collapsed="false">
      <c r="B55" s="39" t="n">
        <f aca="false">B54+$D$12</f>
        <v>3.2</v>
      </c>
      <c r="C55" s="39" t="n">
        <f aca="false">$D$10+B55</f>
        <v>3.2</v>
      </c>
      <c r="D55" s="39" t="n">
        <f aca="false">$D$18+$D$13*$D$17*B55^($D$13-1)</f>
        <v>-465.873333333337</v>
      </c>
      <c r="E55" s="39" t="n">
        <f aca="false">$D$18*B55+$D$17*B55^$D$13</f>
        <v>10453.4826666667</v>
      </c>
      <c r="F55" s="40" t="str">
        <f aca="false">IF(C55&gt;=$D$11,"Crest or above","")</f>
        <v/>
      </c>
    </row>
    <row r="56" customFormat="false" ht="15" hidden="false" customHeight="false" outlineLevel="0" collapsed="false">
      <c r="B56" s="39" t="n">
        <f aca="false">B55+$D$12</f>
        <v>3.3</v>
      </c>
      <c r="C56" s="39" t="n">
        <f aca="false">$D$10+B56</f>
        <v>3.3</v>
      </c>
      <c r="D56" s="39" t="n">
        <f aca="false">$D$18+$D$13*$D$17*B56^($D$13-1)</f>
        <v>-699.160000000004</v>
      </c>
      <c r="E56" s="39" t="n">
        <f aca="false">$D$18*B56+$D$17*B56^$D$13</f>
        <v>10395.231</v>
      </c>
      <c r="F56" s="40" t="str">
        <f aca="false">IF(C56&gt;=$D$11,"Crest or above","")</f>
        <v/>
      </c>
    </row>
    <row r="57" customFormat="false" ht="15" hidden="false" customHeight="false" outlineLevel="0" collapsed="false">
      <c r="B57" s="39" t="n">
        <f aca="false">B56+$D$12</f>
        <v>3.4</v>
      </c>
      <c r="C57" s="39" t="n">
        <f aca="false">$D$10+B57</f>
        <v>3.4</v>
      </c>
      <c r="D57" s="39" t="n">
        <f aca="false">$D$18+$D$13*$D$17*B57^($D$13-1)</f>
        <v>-932.446666666671</v>
      </c>
      <c r="E57" s="39" t="n">
        <f aca="false">$D$18*B57+$D$17*B57^$D$13</f>
        <v>10313.6506666667</v>
      </c>
      <c r="F57" s="40" t="str">
        <f aca="false">IF(C57&gt;=$D$11,"Crest or above","")</f>
        <v/>
      </c>
    </row>
    <row r="58" customFormat="false" ht="15" hidden="false" customHeight="false" outlineLevel="0" collapsed="false">
      <c r="B58" s="39" t="n">
        <f aca="false">B57+$D$12</f>
        <v>3.5</v>
      </c>
      <c r="C58" s="39" t="n">
        <f aca="false">$D$10+B58</f>
        <v>3.5</v>
      </c>
      <c r="D58" s="39" t="n">
        <f aca="false">$D$18+$D$13*$D$17*B58^($D$13-1)</f>
        <v>-1165.73333333334</v>
      </c>
      <c r="E58" s="39" t="n">
        <f aca="false">$D$18*B58+$D$17*B58^$D$13</f>
        <v>10208.7416666667</v>
      </c>
      <c r="F58" s="40" t="str">
        <f aca="false">IF(C58&gt;=$D$11,"Crest or above","")</f>
        <v>Crest or above</v>
      </c>
    </row>
    <row r="60" customFormat="false" ht="15" hidden="false" customHeight="false" outlineLevel="0" collapsed="false">
      <c r="B60" s="41" t="s">
        <v>280</v>
      </c>
      <c r="C60" s="41"/>
      <c r="D60" s="41"/>
      <c r="E60" s="41"/>
    </row>
    <row r="61" customFormat="false" ht="15" hidden="false" customHeight="false" outlineLevel="0" collapsed="false">
      <c r="B61" s="0" t="s">
        <v>281</v>
      </c>
      <c r="C61" s="42" t="n">
        <f aca="false">INDEX(E23:E58,MATCH($D$11,C23:C58,1))</f>
        <v>10208.7416666667</v>
      </c>
      <c r="D61" s="6" t="s">
        <v>98</v>
      </c>
    </row>
    <row r="62" customFormat="false" ht="15" hidden="false" customHeight="false" outlineLevel="0" collapsed="false">
      <c r="B62" s="0" t="s">
        <v>282</v>
      </c>
      <c r="C62" s="42" t="n">
        <f aca="false">INDEX(D23:D58,MATCH($D$11,C23:C58,1))</f>
        <v>-1165.73333333334</v>
      </c>
      <c r="D62" s="6" t="s">
        <v>253</v>
      </c>
    </row>
    <row r="63" customFormat="false" ht="15" hidden="false" customHeight="false" outlineLevel="0" collapsed="false">
      <c r="B63" s="0" t="s">
        <v>283</v>
      </c>
      <c r="C63" s="42" t="n">
        <f aca="false">D9</f>
        <v>10500</v>
      </c>
      <c r="D63" s="6" t="s">
        <v>98</v>
      </c>
    </row>
    <row r="64" customFormat="false" ht="15" hidden="false" customHeight="false" outlineLevel="0" collapsed="false">
      <c r="B64" s="0" t="s">
        <v>284</v>
      </c>
      <c r="C64" s="42" t="n">
        <f aca="false">D8</f>
        <v>0.7</v>
      </c>
      <c r="D64" s="6" t="s">
        <v>253</v>
      </c>
    </row>
  </sheetData>
  <mergeCells count="8">
    <mergeCell ref="B2:I2"/>
    <mergeCell ref="B3:I3"/>
    <mergeCell ref="B5:E5"/>
    <mergeCell ref="G5:I5"/>
    <mergeCell ref="G6:I12"/>
    <mergeCell ref="B15:E15"/>
    <mergeCell ref="B21:F21"/>
    <mergeCell ref="B60:E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10" min="6" style="0" width="14"/>
    <col collapsed="false" customWidth="true" hidden="false" outlineLevel="0" max="11" min="11" style="0" width="18"/>
  </cols>
  <sheetData>
    <row r="2" customFormat="false" ht="16.15" hidden="false" customHeight="true" outlineLevel="0" collapsed="false">
      <c r="B2" s="43" t="s">
        <v>285</v>
      </c>
      <c r="C2" s="43"/>
      <c r="D2" s="43"/>
      <c r="E2" s="43"/>
      <c r="F2" s="43"/>
      <c r="G2" s="43"/>
      <c r="H2" s="43"/>
      <c r="I2" s="43"/>
      <c r="J2" s="43"/>
    </row>
    <row r="3" customFormat="false" ht="15" hidden="false" customHeight="false" outlineLevel="0" collapsed="false">
      <c r="B3" s="33" t="s">
        <v>286</v>
      </c>
      <c r="C3" s="33"/>
      <c r="D3" s="33"/>
      <c r="E3" s="33"/>
      <c r="F3" s="33"/>
      <c r="G3" s="33"/>
      <c r="H3" s="33"/>
      <c r="I3" s="33"/>
      <c r="J3" s="33"/>
    </row>
    <row r="5" customFormat="false" ht="15" hidden="false" customHeight="true" outlineLevel="0" collapsed="false">
      <c r="B5" s="4" t="s">
        <v>287</v>
      </c>
      <c r="C5" s="4"/>
      <c r="D5" s="4"/>
      <c r="E5" s="4"/>
      <c r="I5" s="34" t="s">
        <v>288</v>
      </c>
      <c r="J5" s="34"/>
      <c r="K5" s="34"/>
    </row>
    <row r="6" customFormat="false" ht="15" hidden="false" customHeight="true" outlineLevel="0" collapsed="false">
      <c r="B6" s="7" t="s">
        <v>246</v>
      </c>
      <c r="C6" s="7" t="s">
        <v>81</v>
      </c>
      <c r="D6" s="7" t="s">
        <v>247</v>
      </c>
      <c r="E6" s="7" t="s">
        <v>82</v>
      </c>
      <c r="I6" s="35" t="s">
        <v>289</v>
      </c>
      <c r="J6" s="35"/>
      <c r="K6" s="35"/>
    </row>
    <row r="7" customFormat="false" ht="15" hidden="false" customHeight="false" outlineLevel="0" collapsed="false">
      <c r="B7" s="36" t="s">
        <v>258</v>
      </c>
      <c r="C7" s="44" t="s">
        <v>259</v>
      </c>
      <c r="D7" s="5" t="n">
        <v>3.5</v>
      </c>
      <c r="E7" s="36" t="s">
        <v>88</v>
      </c>
      <c r="I7" s="35"/>
      <c r="J7" s="35"/>
      <c r="K7" s="35"/>
    </row>
    <row r="8" customFormat="false" ht="15" hidden="false" customHeight="false" outlineLevel="0" collapsed="false">
      <c r="B8" s="36" t="s">
        <v>290</v>
      </c>
      <c r="C8" s="44" t="s">
        <v>152</v>
      </c>
      <c r="D8" s="5" t="n">
        <v>0</v>
      </c>
      <c r="E8" s="36" t="s">
        <v>88</v>
      </c>
      <c r="I8" s="35"/>
      <c r="J8" s="35"/>
      <c r="K8" s="35"/>
    </row>
    <row r="9" customFormat="false" ht="15" hidden="false" customHeight="false" outlineLevel="0" collapsed="false">
      <c r="B9" s="36" t="s">
        <v>291</v>
      </c>
      <c r="C9" s="44" t="s">
        <v>128</v>
      </c>
      <c r="D9" s="5" t="n">
        <v>3</v>
      </c>
      <c r="E9" s="36" t="s">
        <v>88</v>
      </c>
      <c r="I9" s="35"/>
      <c r="J9" s="35"/>
      <c r="K9" s="35"/>
    </row>
    <row r="10" customFormat="false" ht="15" hidden="false" customHeight="false" outlineLevel="0" collapsed="false">
      <c r="B10" s="36" t="s">
        <v>292</v>
      </c>
      <c r="C10" s="44" t="s">
        <v>293</v>
      </c>
      <c r="D10" s="5" t="n">
        <v>100</v>
      </c>
      <c r="E10" s="36" t="s">
        <v>88</v>
      </c>
      <c r="I10" s="35"/>
      <c r="J10" s="35"/>
      <c r="K10" s="35"/>
    </row>
    <row r="11" customFormat="false" ht="15" hidden="false" customHeight="false" outlineLevel="0" collapsed="false">
      <c r="B11" s="36" t="s">
        <v>294</v>
      </c>
      <c r="C11" s="44" t="s">
        <v>133</v>
      </c>
      <c r="D11" s="5" t="n">
        <v>3</v>
      </c>
      <c r="E11" s="36" t="s">
        <v>134</v>
      </c>
      <c r="I11" s="35"/>
      <c r="J11" s="35"/>
      <c r="K11" s="35"/>
    </row>
    <row r="12" customFormat="false" ht="15" hidden="false" customHeight="false" outlineLevel="0" collapsed="false">
      <c r="B12" s="36" t="s">
        <v>295</v>
      </c>
      <c r="C12" s="44" t="s">
        <v>139</v>
      </c>
      <c r="D12" s="5" t="n">
        <v>2</v>
      </c>
      <c r="E12" s="36" t="s">
        <v>134</v>
      </c>
      <c r="I12" s="35"/>
      <c r="J12" s="35"/>
      <c r="K12" s="35"/>
    </row>
    <row r="13" customFormat="false" ht="15" hidden="false" customHeight="false" outlineLevel="0" collapsed="false">
      <c r="B13" s="36" t="s">
        <v>296</v>
      </c>
      <c r="C13" s="44" t="s">
        <v>297</v>
      </c>
      <c r="D13" s="5" t="n">
        <v>0.5</v>
      </c>
      <c r="E13" s="36" t="s">
        <v>134</v>
      </c>
      <c r="I13" s="35"/>
      <c r="J13" s="35"/>
      <c r="K13" s="35"/>
    </row>
    <row r="14" customFormat="false" ht="15" hidden="false" customHeight="false" outlineLevel="0" collapsed="false">
      <c r="B14" s="36" t="s">
        <v>298</v>
      </c>
      <c r="C14" s="44" t="s">
        <v>299</v>
      </c>
      <c r="D14" s="5" t="n">
        <v>0.5</v>
      </c>
      <c r="E14" s="36" t="s">
        <v>134</v>
      </c>
      <c r="I14" s="35"/>
      <c r="J14" s="35"/>
      <c r="K14" s="35"/>
    </row>
    <row r="15" customFormat="false" ht="15" hidden="false" customHeight="false" outlineLevel="0" collapsed="false">
      <c r="B15" s="36" t="s">
        <v>300</v>
      </c>
      <c r="C15" s="44" t="s">
        <v>301</v>
      </c>
      <c r="D15" s="5" t="n">
        <v>3.75</v>
      </c>
      <c r="E15" s="36" t="s">
        <v>302</v>
      </c>
      <c r="I15" s="35"/>
      <c r="J15" s="35"/>
      <c r="K15" s="35"/>
    </row>
    <row r="16" customFormat="false" ht="15" hidden="false" customHeight="false" outlineLevel="0" collapsed="false">
      <c r="B16" s="36" t="s">
        <v>303</v>
      </c>
      <c r="C16" s="44" t="s">
        <v>304</v>
      </c>
      <c r="D16" s="5" t="n">
        <v>0.02</v>
      </c>
      <c r="E16" s="36" t="s">
        <v>302</v>
      </c>
      <c r="I16" s="35"/>
      <c r="J16" s="35"/>
      <c r="K16" s="35"/>
    </row>
    <row r="17" customFormat="false" ht="15" hidden="false" customHeight="false" outlineLevel="0" collapsed="false">
      <c r="B17" s="0" t="s">
        <v>305</v>
      </c>
      <c r="C17" s="0" t="s">
        <v>119</v>
      </c>
      <c r="D17" s="39" t="n">
        <f aca="false">D7-D8</f>
        <v>3.5</v>
      </c>
      <c r="E17" s="6" t="s">
        <v>88</v>
      </c>
    </row>
    <row r="18" customFormat="false" ht="15" hidden="false" customHeight="false" outlineLevel="0" collapsed="false">
      <c r="B18" s="0" t="s">
        <v>306</v>
      </c>
      <c r="C18" s="0" t="s">
        <v>143</v>
      </c>
      <c r="D18" s="39" t="n">
        <f aca="false">D11+D12</f>
        <v>5</v>
      </c>
      <c r="E18" s="6" t="s">
        <v>134</v>
      </c>
    </row>
    <row r="20" customFormat="false" ht="15" hidden="false" customHeight="true" outlineLevel="0" collapsed="false">
      <c r="B20" s="45" t="s">
        <v>307</v>
      </c>
      <c r="C20" s="45"/>
      <c r="D20" s="45"/>
      <c r="E20" s="45"/>
      <c r="F20" s="45"/>
      <c r="G20" s="45"/>
    </row>
    <row r="21" customFormat="false" ht="15" hidden="false" customHeight="false" outlineLevel="0" collapsed="false">
      <c r="B21" s="7" t="s">
        <v>246</v>
      </c>
      <c r="C21" s="7" t="s">
        <v>81</v>
      </c>
      <c r="D21" s="7" t="s">
        <v>247</v>
      </c>
      <c r="E21" s="7" t="s">
        <v>82</v>
      </c>
      <c r="F21" s="7" t="s">
        <v>308</v>
      </c>
      <c r="G21" s="7" t="s">
        <v>279</v>
      </c>
    </row>
    <row r="22" customFormat="false" ht="15" hidden="false" customHeight="false" outlineLevel="0" collapsed="false">
      <c r="B22" s="38" t="s">
        <v>309</v>
      </c>
      <c r="C22" s="38" t="s">
        <v>310</v>
      </c>
      <c r="D22" s="5" t="n">
        <v>3</v>
      </c>
      <c r="E22" s="38" t="s">
        <v>88</v>
      </c>
      <c r="F22" s="38"/>
      <c r="G22" s="38"/>
    </row>
    <row r="23" customFormat="false" ht="15" hidden="false" customHeight="false" outlineLevel="0" collapsed="false">
      <c r="B23" s="38" t="s">
        <v>311</v>
      </c>
      <c r="C23" s="38" t="s">
        <v>312</v>
      </c>
      <c r="D23" s="39" t="n">
        <f aca="false">D22-D8</f>
        <v>3</v>
      </c>
      <c r="E23" s="38" t="s">
        <v>88</v>
      </c>
      <c r="F23" s="38"/>
      <c r="G23" s="38"/>
    </row>
    <row r="24" customFormat="false" ht="15" hidden="false" customHeight="false" outlineLevel="0" collapsed="false">
      <c r="B24" s="38" t="s">
        <v>313</v>
      </c>
      <c r="C24" s="38" t="s">
        <v>314</v>
      </c>
      <c r="D24" s="5" t="n">
        <v>10000</v>
      </c>
      <c r="E24" s="38" t="s">
        <v>98</v>
      </c>
      <c r="F24" s="39" t="n">
        <f aca="false">D24/1233.48183754752</f>
        <v>8.10713193789913</v>
      </c>
      <c r="G24" s="38" t="s">
        <v>315</v>
      </c>
    </row>
    <row r="25" customFormat="false" ht="15" hidden="false" customHeight="false" outlineLevel="0" collapsed="false">
      <c r="B25" s="38" t="s">
        <v>316</v>
      </c>
      <c r="C25" s="38" t="s">
        <v>317</v>
      </c>
      <c r="D25" s="5" t="n">
        <v>0.7</v>
      </c>
      <c r="E25" s="38" t="s">
        <v>253</v>
      </c>
      <c r="F25" s="39" t="n">
        <f aca="false">D25/0.40468564224</f>
        <v>1.72973767027016</v>
      </c>
      <c r="G25" s="38" t="s">
        <v>318</v>
      </c>
    </row>
    <row r="26" customFormat="false" ht="15" hidden="false" customHeight="false" outlineLevel="0" collapsed="false">
      <c r="B26" s="38"/>
      <c r="C26" s="38"/>
      <c r="D26" s="38"/>
      <c r="E26" s="38"/>
      <c r="F26" s="38"/>
      <c r="G26" s="38"/>
    </row>
    <row r="27" customFormat="false" ht="15" hidden="false" customHeight="false" outlineLevel="0" collapsed="false">
      <c r="B27" s="46" t="s">
        <v>319</v>
      </c>
      <c r="C27" s="46"/>
      <c r="D27" s="46"/>
      <c r="E27" s="46"/>
      <c r="F27" s="46"/>
      <c r="G27" s="46"/>
    </row>
    <row r="28" customFormat="false" ht="15" hidden="false" customHeight="false" outlineLevel="0" collapsed="false">
      <c r="B28" s="38" t="s">
        <v>320</v>
      </c>
      <c r="C28" s="38" t="s">
        <v>321</v>
      </c>
      <c r="D28" s="39" t="n">
        <f aca="false">F24*(D23/0.3048)</f>
        <v>79.7946056879835</v>
      </c>
      <c r="E28" s="38" t="s">
        <v>302</v>
      </c>
      <c r="F28" s="38"/>
      <c r="G28" s="38"/>
    </row>
    <row r="29" customFormat="false" ht="15" hidden="false" customHeight="false" outlineLevel="0" collapsed="false">
      <c r="B29" s="38" t="s">
        <v>322</v>
      </c>
      <c r="C29" s="38" t="s">
        <v>323</v>
      </c>
      <c r="D29" s="39" t="n">
        <f aca="false">$D$15*D28^0.77</f>
        <v>109.282567066783</v>
      </c>
      <c r="E29" s="38" t="s">
        <v>324</v>
      </c>
      <c r="F29" s="39" t="n">
        <f aca="false">D29*0.764554857984</f>
        <v>83.5525175438711</v>
      </c>
      <c r="G29" s="38" t="s">
        <v>98</v>
      </c>
    </row>
    <row r="30" customFormat="false" ht="15" hidden="false" customHeight="false" outlineLevel="0" collapsed="false">
      <c r="B30" s="38" t="s">
        <v>325</v>
      </c>
      <c r="C30" s="38" t="s">
        <v>326</v>
      </c>
      <c r="D30" s="39" t="n">
        <f aca="false">(D17/0.3048)*((D9/0.3048)+(D17/0.3048)*D18/2)</f>
        <v>442.665815887187</v>
      </c>
      <c r="E30" s="38" t="s">
        <v>327</v>
      </c>
      <c r="F30" s="38"/>
      <c r="G30" s="38"/>
    </row>
    <row r="31" customFormat="false" ht="15" hidden="false" customHeight="false" outlineLevel="0" collapsed="false">
      <c r="B31" s="38" t="s">
        <v>328</v>
      </c>
      <c r="C31" s="38" t="s">
        <v>329</v>
      </c>
      <c r="D31" s="39" t="n">
        <f aca="false">(D17/0.3048)^2*((D9/0.3048)*D13+(D17/0.3048)*D13*D18/3)</f>
        <v>1910.6706140772</v>
      </c>
      <c r="E31" s="38" t="s">
        <v>330</v>
      </c>
      <c r="F31" s="38"/>
      <c r="G31" s="38"/>
    </row>
    <row r="32" customFormat="false" ht="15" hidden="false" customHeight="false" outlineLevel="0" collapsed="false">
      <c r="B32" s="38" t="s">
        <v>331</v>
      </c>
      <c r="C32" s="38" t="s">
        <v>332</v>
      </c>
      <c r="D32" s="39" t="n">
        <f aca="false">(27*D29 - D31)/D30</f>
        <v>2.34930880000673</v>
      </c>
      <c r="E32" s="38" t="s">
        <v>333</v>
      </c>
      <c r="F32" s="39" t="n">
        <f aca="false">D32*0.3048</f>
        <v>0.716069322242053</v>
      </c>
      <c r="G32" s="38" t="s">
        <v>88</v>
      </c>
    </row>
    <row r="33" customFormat="false" ht="15" hidden="false" customHeight="false" outlineLevel="0" collapsed="false">
      <c r="B33" s="38" t="s">
        <v>334</v>
      </c>
      <c r="C33" s="38" t="s">
        <v>335</v>
      </c>
      <c r="D33" s="39" t="n">
        <f aca="false">D32 + D13*(D23/0.3048)</f>
        <v>7.27056864252642</v>
      </c>
      <c r="E33" s="38" t="s">
        <v>333</v>
      </c>
      <c r="F33" s="39" t="n">
        <f aca="false">D33*0.3048</f>
        <v>2.21606932224205</v>
      </c>
      <c r="G33" s="38" t="s">
        <v>88</v>
      </c>
    </row>
    <row r="34" customFormat="false" ht="15" hidden="false" customHeight="false" outlineLevel="0" collapsed="false">
      <c r="B34" s="38" t="s">
        <v>336</v>
      </c>
      <c r="C34" s="38" t="s">
        <v>337</v>
      </c>
      <c r="D34" s="39" t="n">
        <f aca="false">D32 + 2*D13*(D23/0.3048)</f>
        <v>12.1918284850461</v>
      </c>
      <c r="E34" s="38" t="s">
        <v>333</v>
      </c>
      <c r="F34" s="39" t="n">
        <f aca="false">D34*0.3048</f>
        <v>3.71606932224205</v>
      </c>
      <c r="G34" s="38" t="s">
        <v>88</v>
      </c>
    </row>
    <row r="35" customFormat="false" ht="15" hidden="false" customHeight="false" outlineLevel="0" collapsed="false">
      <c r="B35" s="38" t="s">
        <v>338</v>
      </c>
      <c r="C35" s="38" t="s">
        <v>339</v>
      </c>
      <c r="D35" s="39" t="n">
        <f aca="false">D32 + 2*D13*(D17/0.3048)</f>
        <v>13.8322484325527</v>
      </c>
      <c r="E35" s="38" t="s">
        <v>333</v>
      </c>
      <c r="F35" s="39" t="n">
        <f aca="false">D35*0.3048</f>
        <v>4.21606932224205</v>
      </c>
      <c r="G35" s="38" t="s">
        <v>88</v>
      </c>
    </row>
    <row r="36" customFormat="false" ht="15" hidden="false" customHeight="false" outlineLevel="0" collapsed="false">
      <c r="B36" s="38" t="s">
        <v>340</v>
      </c>
      <c r="C36" s="38" t="s">
        <v>341</v>
      </c>
      <c r="D36" s="39" t="n">
        <f aca="false">F35/D10*100</f>
        <v>4.21606932224205</v>
      </c>
      <c r="E36" s="38" t="s">
        <v>342</v>
      </c>
      <c r="F36" s="38"/>
      <c r="G36" s="38"/>
    </row>
    <row r="37" customFormat="false" ht="15" hidden="false" customHeight="false" outlineLevel="0" collapsed="false">
      <c r="B37" s="38" t="s">
        <v>343</v>
      </c>
      <c r="C37" s="38" t="s">
        <v>344</v>
      </c>
      <c r="D37" s="39" t="n">
        <f aca="false">$D$16*D29^0.36</f>
        <v>0.108369810859622</v>
      </c>
      <c r="E37" s="38" t="s">
        <v>208</v>
      </c>
      <c r="F37" s="39" t="n">
        <f aca="false">D37*60</f>
        <v>6.50218865157735</v>
      </c>
      <c r="G37" s="38" t="s">
        <v>345</v>
      </c>
    </row>
    <row r="38" customFormat="false" ht="15" hidden="false" customHeight="false" outlineLevel="0" collapsed="false">
      <c r="B38" s="38" t="s">
        <v>346</v>
      </c>
      <c r="C38" s="38" t="s">
        <v>347</v>
      </c>
      <c r="D38" s="39" t="n">
        <f aca="false">23.4*F25/D33</f>
        <v>5.56708332929746</v>
      </c>
      <c r="E38" s="38" t="s">
        <v>348</v>
      </c>
      <c r="F38" s="38"/>
      <c r="G38" s="38"/>
    </row>
    <row r="39" customFormat="false" ht="15" hidden="false" customHeight="false" outlineLevel="0" collapsed="false">
      <c r="B39" s="38" t="s">
        <v>202</v>
      </c>
      <c r="C39" s="38" t="s">
        <v>349</v>
      </c>
      <c r="D39" s="39" t="n">
        <f aca="false">D38/(D38+D37*SQRT(D23/0.3048))</f>
        <v>0.942444163693502</v>
      </c>
      <c r="E39" s="38" t="s">
        <v>20</v>
      </c>
      <c r="F39" s="38"/>
      <c r="G39" s="38"/>
    </row>
    <row r="40" customFormat="false" ht="15" hidden="false" customHeight="false" outlineLevel="0" collapsed="false">
      <c r="B40" s="38" t="s">
        <v>350</v>
      </c>
      <c r="C40" s="38" t="s">
        <v>351</v>
      </c>
      <c r="D40" s="39" t="n">
        <f aca="false">3.1*D33*(D23/0.3048)^1.5*(D39^3)</f>
        <v>582.581110285868</v>
      </c>
      <c r="E40" s="38" t="s">
        <v>352</v>
      </c>
      <c r="F40" s="39" t="n">
        <f aca="false">D40*0.028316846592</f>
        <v>16.496859927362</v>
      </c>
      <c r="G40" s="38" t="s">
        <v>109</v>
      </c>
    </row>
    <row r="41" customFormat="false" ht="15" hidden="false" customHeight="false" outlineLevel="0" collapsed="false">
      <c r="B41" s="38" t="s">
        <v>353</v>
      </c>
      <c r="C41" s="38" t="s">
        <v>354</v>
      </c>
      <c r="D41" s="39" t="n">
        <f aca="false">40.1*F24^0.295*(D23/0.3048)^1.24</f>
        <v>1266.81153975957</v>
      </c>
      <c r="E41" s="38" t="s">
        <v>352</v>
      </c>
      <c r="F41" s="39" t="n">
        <f aca="false">D41*0.028316846592</f>
        <v>35.8721080323471</v>
      </c>
      <c r="G41" s="38" t="s">
        <v>109</v>
      </c>
    </row>
    <row r="42" customFormat="false" ht="15" hidden="false" customHeight="false" outlineLevel="0" collapsed="false">
      <c r="B42" s="38" t="s">
        <v>355</v>
      </c>
      <c r="C42" s="38" t="s">
        <v>356</v>
      </c>
      <c r="D42" s="42" t="n">
        <f aca="false">D40</f>
        <v>582.581110285868</v>
      </c>
      <c r="E42" s="38" t="s">
        <v>352</v>
      </c>
      <c r="F42" s="42" t="n">
        <f aca="false">F40</f>
        <v>16.496859927362</v>
      </c>
      <c r="G42" s="38" t="s">
        <v>109</v>
      </c>
    </row>
    <row r="43" customFormat="false" ht="15" hidden="false" customHeight="false" outlineLevel="0" collapsed="false">
      <c r="B43" s="38" t="s">
        <v>357</v>
      </c>
      <c r="C43" s="38" t="s">
        <v>358</v>
      </c>
      <c r="D43" s="39" t="n">
        <f aca="false">2*(D24)/(F42*3600)</f>
        <v>0.336764425473543</v>
      </c>
      <c r="E43" s="38" t="s">
        <v>208</v>
      </c>
      <c r="F43" s="39" t="n">
        <f aca="false">D43*60</f>
        <v>20.2058655284126</v>
      </c>
      <c r="G43" s="38" t="s">
        <v>345</v>
      </c>
    </row>
    <row r="45" customFormat="false" ht="15" hidden="false" customHeight="true" outlineLevel="0" collapsed="false">
      <c r="B45" s="45" t="s">
        <v>359</v>
      </c>
      <c r="C45" s="45"/>
      <c r="D45" s="45"/>
      <c r="E45" s="45"/>
      <c r="F45" s="45"/>
      <c r="G45" s="45"/>
    </row>
    <row r="46" customFormat="false" ht="15" hidden="false" customHeight="false" outlineLevel="0" collapsed="false">
      <c r="B46" s="7" t="s">
        <v>246</v>
      </c>
      <c r="C46" s="7" t="s">
        <v>81</v>
      </c>
      <c r="D46" s="7" t="s">
        <v>247</v>
      </c>
      <c r="E46" s="7" t="s">
        <v>82</v>
      </c>
      <c r="F46" s="7" t="s">
        <v>308</v>
      </c>
      <c r="G46" s="7" t="s">
        <v>279</v>
      </c>
    </row>
    <row r="47" customFormat="false" ht="15" hidden="false" customHeight="false" outlineLevel="0" collapsed="false">
      <c r="B47" s="38" t="s">
        <v>309</v>
      </c>
      <c r="C47" s="38" t="s">
        <v>360</v>
      </c>
      <c r="D47" s="5" t="n">
        <v>3.5</v>
      </c>
      <c r="E47" s="38" t="s">
        <v>88</v>
      </c>
      <c r="F47" s="38"/>
      <c r="G47" s="38"/>
    </row>
    <row r="48" customFormat="false" ht="15" hidden="false" customHeight="false" outlineLevel="0" collapsed="false">
      <c r="B48" s="38" t="s">
        <v>311</v>
      </c>
      <c r="C48" s="38" t="s">
        <v>361</v>
      </c>
      <c r="D48" s="39" t="n">
        <f aca="false">D47-D8</f>
        <v>3.5</v>
      </c>
      <c r="E48" s="38" t="s">
        <v>88</v>
      </c>
      <c r="F48" s="38"/>
      <c r="G48" s="38"/>
    </row>
    <row r="49" customFormat="false" ht="15" hidden="false" customHeight="false" outlineLevel="0" collapsed="false">
      <c r="B49" s="38" t="s">
        <v>313</v>
      </c>
      <c r="C49" s="38" t="s">
        <v>362</v>
      </c>
      <c r="D49" s="5" t="n">
        <v>13000</v>
      </c>
      <c r="E49" s="38" t="s">
        <v>98</v>
      </c>
      <c r="F49" s="39" t="n">
        <f aca="false">D49/1233.48183754752</f>
        <v>10.5392715192689</v>
      </c>
      <c r="G49" s="38" t="s">
        <v>315</v>
      </c>
    </row>
    <row r="50" customFormat="false" ht="15" hidden="false" customHeight="false" outlineLevel="0" collapsed="false">
      <c r="B50" s="38" t="s">
        <v>316</v>
      </c>
      <c r="C50" s="38" t="s">
        <v>363</v>
      </c>
      <c r="D50" s="5" t="n">
        <v>0.8</v>
      </c>
      <c r="E50" s="38" t="s">
        <v>253</v>
      </c>
      <c r="F50" s="39" t="n">
        <f aca="false">D50/0.40468564224</f>
        <v>1.97684305173732</v>
      </c>
      <c r="G50" s="38" t="s">
        <v>318</v>
      </c>
    </row>
    <row r="51" customFormat="false" ht="15" hidden="false" customHeight="false" outlineLevel="0" collapsed="false">
      <c r="B51" s="38" t="s">
        <v>364</v>
      </c>
      <c r="C51" s="38" t="s">
        <v>365</v>
      </c>
      <c r="D51" s="5" t="n">
        <v>1300</v>
      </c>
      <c r="E51" s="38" t="s">
        <v>98</v>
      </c>
      <c r="F51" s="38"/>
      <c r="G51" s="38"/>
    </row>
    <row r="52" customFormat="false" ht="15" hidden="false" customHeight="false" outlineLevel="0" collapsed="false">
      <c r="B52" s="38" t="s">
        <v>366</v>
      </c>
      <c r="C52" s="38" t="s">
        <v>367</v>
      </c>
      <c r="D52" s="5" t="n">
        <f aca="false">D50 + (D51/10000)</f>
        <v>0.93</v>
      </c>
      <c r="E52" s="38" t="s">
        <v>253</v>
      </c>
      <c r="F52" s="38"/>
      <c r="G52" s="38"/>
    </row>
    <row r="53" customFormat="false" ht="15" hidden="false" customHeight="false" outlineLevel="0" collapsed="false">
      <c r="B53" s="38"/>
      <c r="C53" s="38"/>
      <c r="D53" s="38"/>
      <c r="E53" s="38"/>
      <c r="F53" s="38"/>
      <c r="G53" s="38"/>
    </row>
    <row r="54" customFormat="false" ht="15" hidden="false" customHeight="false" outlineLevel="0" collapsed="false">
      <c r="B54" s="46" t="s">
        <v>368</v>
      </c>
      <c r="C54" s="46"/>
      <c r="D54" s="46"/>
      <c r="E54" s="46"/>
      <c r="F54" s="46"/>
      <c r="G54" s="46"/>
    </row>
    <row r="55" customFormat="false" ht="15" hidden="false" customHeight="false" outlineLevel="0" collapsed="false">
      <c r="B55" s="38" t="s">
        <v>320</v>
      </c>
      <c r="C55" s="38" t="s">
        <v>369</v>
      </c>
      <c r="D55" s="39" t="n">
        <f aca="false">F49*(D48/0.3048)</f>
        <v>121.021818626775</v>
      </c>
      <c r="E55" s="38" t="s">
        <v>302</v>
      </c>
      <c r="F55" s="38"/>
      <c r="G55" s="38"/>
    </row>
    <row r="56" customFormat="false" ht="15" hidden="false" customHeight="false" outlineLevel="0" collapsed="false">
      <c r="B56" s="38" t="s">
        <v>322</v>
      </c>
      <c r="C56" s="38" t="s">
        <v>370</v>
      </c>
      <c r="D56" s="39" t="n">
        <f aca="false">$D$15*D55^0.77</f>
        <v>150.603927400417</v>
      </c>
      <c r="E56" s="38" t="s">
        <v>324</v>
      </c>
      <c r="F56" s="39" t="n">
        <f aca="false">D56*0.764554857984</f>
        <v>115.144964325458</v>
      </c>
      <c r="G56" s="38" t="s">
        <v>98</v>
      </c>
    </row>
    <row r="57" customFormat="false" ht="15" hidden="false" customHeight="false" outlineLevel="0" collapsed="false">
      <c r="B57" s="38" t="s">
        <v>325</v>
      </c>
      <c r="C57" s="38" t="s">
        <v>371</v>
      </c>
      <c r="D57" s="39" t="n">
        <f aca="false">(D17/0.3048)*((D9/0.3048)+(D17/0.3048)*D18/2)</f>
        <v>442.665815887187</v>
      </c>
      <c r="E57" s="38" t="s">
        <v>327</v>
      </c>
      <c r="F57" s="38"/>
      <c r="G57" s="38"/>
    </row>
    <row r="58" customFormat="false" ht="15" hidden="false" customHeight="false" outlineLevel="0" collapsed="false">
      <c r="B58" s="38" t="s">
        <v>328</v>
      </c>
      <c r="C58" s="38" t="s">
        <v>372</v>
      </c>
      <c r="D58" s="39" t="n">
        <f aca="false">(D17/0.3048)^2*((D9/0.3048)*D14+(D17/0.3048)*D14*D18/3)</f>
        <v>1910.6706140772</v>
      </c>
      <c r="E58" s="38" t="s">
        <v>330</v>
      </c>
      <c r="F58" s="38"/>
      <c r="G58" s="38"/>
    </row>
    <row r="59" customFormat="false" ht="15" hidden="false" customHeight="false" outlineLevel="0" collapsed="false">
      <c r="B59" s="38" t="s">
        <v>331</v>
      </c>
      <c r="C59" s="38" t="s">
        <v>373</v>
      </c>
      <c r="D59" s="39" t="n">
        <f aca="false">(27*D56 - D58)/D57</f>
        <v>4.86966770048359</v>
      </c>
      <c r="E59" s="38" t="s">
        <v>333</v>
      </c>
      <c r="F59" s="39" t="n">
        <f aca="false">D59*0.3048</f>
        <v>1.4842747151074</v>
      </c>
      <c r="G59" s="38" t="s">
        <v>88</v>
      </c>
    </row>
    <row r="60" customFormat="false" ht="15" hidden="false" customHeight="false" outlineLevel="0" collapsed="false">
      <c r="B60" s="38" t="s">
        <v>334</v>
      </c>
      <c r="C60" s="38" t="s">
        <v>374</v>
      </c>
      <c r="D60" s="39" t="n">
        <f aca="false">D59 + D14*(D48/0.3048)</f>
        <v>10.6111375167566</v>
      </c>
      <c r="E60" s="38" t="s">
        <v>333</v>
      </c>
      <c r="F60" s="39" t="n">
        <f aca="false">D60*0.3048</f>
        <v>3.2342747151074</v>
      </c>
      <c r="G60" s="38" t="s">
        <v>88</v>
      </c>
    </row>
    <row r="61" customFormat="false" ht="15" hidden="false" customHeight="false" outlineLevel="0" collapsed="false">
      <c r="B61" s="38" t="s">
        <v>336</v>
      </c>
      <c r="C61" s="38" t="s">
        <v>375</v>
      </c>
      <c r="D61" s="39" t="n">
        <f aca="false">D59 + 2*D14*(D48/0.3048)</f>
        <v>16.3526073330295</v>
      </c>
      <c r="E61" s="38" t="s">
        <v>333</v>
      </c>
      <c r="F61" s="39" t="n">
        <f aca="false">D61*0.3048</f>
        <v>4.9842747151074</v>
      </c>
      <c r="G61" s="38" t="s">
        <v>88</v>
      </c>
    </row>
    <row r="62" customFormat="false" ht="15" hidden="false" customHeight="false" outlineLevel="0" collapsed="false">
      <c r="B62" s="38" t="s">
        <v>338</v>
      </c>
      <c r="C62" s="38" t="s">
        <v>376</v>
      </c>
      <c r="D62" s="39" t="n">
        <f aca="false">D59 + 2*D14*(D17/0.3048)</f>
        <v>16.3526073330295</v>
      </c>
      <c r="E62" s="38" t="s">
        <v>333</v>
      </c>
      <c r="F62" s="39" t="n">
        <f aca="false">D62*0.3048</f>
        <v>4.9842747151074</v>
      </c>
      <c r="G62" s="38" t="s">
        <v>88</v>
      </c>
    </row>
    <row r="63" customFormat="false" ht="15" hidden="false" customHeight="false" outlineLevel="0" collapsed="false">
      <c r="B63" s="38" t="s">
        <v>340</v>
      </c>
      <c r="C63" s="38" t="s">
        <v>377</v>
      </c>
      <c r="D63" s="39" t="n">
        <f aca="false">F62/D10*100</f>
        <v>4.9842747151074</v>
      </c>
      <c r="E63" s="38" t="s">
        <v>342</v>
      </c>
      <c r="F63" s="38"/>
      <c r="G63" s="38"/>
    </row>
    <row r="64" customFormat="false" ht="15" hidden="false" customHeight="false" outlineLevel="0" collapsed="false">
      <c r="B64" s="38" t="s">
        <v>343</v>
      </c>
      <c r="C64" s="38" t="s">
        <v>378</v>
      </c>
      <c r="D64" s="39" t="n">
        <f aca="false">$D$16*D56^0.36</f>
        <v>0.121632900367743</v>
      </c>
      <c r="E64" s="38" t="s">
        <v>208</v>
      </c>
      <c r="F64" s="39" t="n">
        <f aca="false">D64*60</f>
        <v>7.29797402206456</v>
      </c>
      <c r="G64" s="38" t="s">
        <v>345</v>
      </c>
    </row>
    <row r="65" customFormat="false" ht="15" hidden="false" customHeight="false" outlineLevel="0" collapsed="false">
      <c r="B65" s="38" t="s">
        <v>346</v>
      </c>
      <c r="C65" s="38" t="s">
        <v>379</v>
      </c>
      <c r="D65" s="39" t="n">
        <f aca="false">23.4*(D52/0.40468564224)/D60</f>
        <v>5.06779532636965</v>
      </c>
      <c r="E65" s="38" t="s">
        <v>348</v>
      </c>
      <c r="F65" s="38"/>
      <c r="G65" s="38"/>
    </row>
    <row r="66" customFormat="false" ht="15" hidden="false" customHeight="false" outlineLevel="0" collapsed="false">
      <c r="B66" s="38" t="s">
        <v>202</v>
      </c>
      <c r="C66" s="38" t="s">
        <v>380</v>
      </c>
      <c r="D66" s="39" t="n">
        <f aca="false">D65/(D65+D64*SQRT(D48/0.3048))</f>
        <v>0.924785824200698</v>
      </c>
      <c r="E66" s="38" t="s">
        <v>20</v>
      </c>
      <c r="F66" s="38"/>
      <c r="G66" s="38"/>
    </row>
    <row r="67" customFormat="false" ht="15" hidden="false" customHeight="false" outlineLevel="0" collapsed="false">
      <c r="B67" s="38" t="s">
        <v>350</v>
      </c>
      <c r="C67" s="38" t="s">
        <v>381</v>
      </c>
      <c r="D67" s="39" t="n">
        <f aca="false">3.1*D60*(D48/0.3048)^1.5*(D66^3)</f>
        <v>1012.34082482599</v>
      </c>
      <c r="E67" s="38" t="s">
        <v>352</v>
      </c>
      <c r="F67" s="39" t="n">
        <f aca="false">D67*0.028316846592</f>
        <v>28.6662998354164</v>
      </c>
      <c r="G67" s="38" t="s">
        <v>109</v>
      </c>
    </row>
    <row r="68" customFormat="false" ht="15" hidden="false" customHeight="false" outlineLevel="0" collapsed="false">
      <c r="B68" s="38" t="s">
        <v>353</v>
      </c>
      <c r="C68" s="38" t="s">
        <v>382</v>
      </c>
      <c r="D68" s="39" t="n">
        <f aca="false">40.1*F49^0.295*(D48/0.3048)^1.24</f>
        <v>1657.06413969769</v>
      </c>
      <c r="E68" s="38" t="s">
        <v>352</v>
      </c>
      <c r="F68" s="39" t="n">
        <f aca="false">D68*0.028316846592</f>
        <v>46.922831036924</v>
      </c>
      <c r="G68" s="38" t="s">
        <v>109</v>
      </c>
    </row>
    <row r="69" customFormat="false" ht="15" hidden="false" customHeight="false" outlineLevel="0" collapsed="false">
      <c r="B69" s="38" t="s">
        <v>355</v>
      </c>
      <c r="C69" s="38" t="s">
        <v>383</v>
      </c>
      <c r="D69" s="42" t="n">
        <f aca="false">D67</f>
        <v>1012.34082482599</v>
      </c>
      <c r="E69" s="38" t="s">
        <v>352</v>
      </c>
      <c r="F69" s="42" t="n">
        <f aca="false">F67</f>
        <v>28.6662998354164</v>
      </c>
      <c r="G69" s="38" t="s">
        <v>109</v>
      </c>
    </row>
    <row r="70" customFormat="false" ht="15" hidden="false" customHeight="false" outlineLevel="0" collapsed="false">
      <c r="B70" s="38" t="s">
        <v>384</v>
      </c>
      <c r="C70" s="38" t="s">
        <v>385</v>
      </c>
      <c r="D70" s="39" t="n">
        <f aca="false">2*(D49+D51)/(F69*3600)</f>
        <v>0.277135329291062</v>
      </c>
      <c r="E70" s="38" t="s">
        <v>208</v>
      </c>
      <c r="F70" s="39" t="n">
        <f aca="false">D70*60</f>
        <v>16.6281197574637</v>
      </c>
      <c r="G70" s="38" t="s">
        <v>345</v>
      </c>
    </row>
  </sheetData>
  <mergeCells count="9">
    <mergeCell ref="B2:J2"/>
    <mergeCell ref="B3:J3"/>
    <mergeCell ref="B5:E5"/>
    <mergeCell ref="I5:K5"/>
    <mergeCell ref="I6:K16"/>
    <mergeCell ref="B20:G20"/>
    <mergeCell ref="B27:G27"/>
    <mergeCell ref="B45:G45"/>
    <mergeCell ref="B54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8" min="6" style="0" width="14"/>
  </cols>
  <sheetData>
    <row r="2" customFormat="false" ht="16.15" hidden="false" customHeight="true" outlineLevel="0" collapsed="false">
      <c r="B2" s="43" t="s">
        <v>386</v>
      </c>
      <c r="C2" s="43"/>
      <c r="D2" s="43"/>
      <c r="E2" s="43"/>
      <c r="F2" s="43"/>
      <c r="G2" s="43"/>
    </row>
    <row r="3" customFormat="false" ht="15" hidden="false" customHeight="false" outlineLevel="0" collapsed="false">
      <c r="B3" s="33" t="s">
        <v>387</v>
      </c>
      <c r="C3" s="33"/>
      <c r="D3" s="33"/>
      <c r="E3" s="33"/>
      <c r="F3" s="33"/>
      <c r="G3" s="33"/>
    </row>
    <row r="5" customFormat="false" ht="15" hidden="false" customHeight="true" outlineLevel="0" collapsed="false">
      <c r="B5" s="4" t="s">
        <v>388</v>
      </c>
      <c r="C5" s="4"/>
      <c r="D5" s="4"/>
      <c r="E5" s="4"/>
    </row>
    <row r="6" customFormat="false" ht="15" hidden="false" customHeight="false" outlineLevel="0" collapsed="false">
      <c r="B6" s="7" t="s">
        <v>246</v>
      </c>
      <c r="C6" s="7" t="s">
        <v>81</v>
      </c>
      <c r="D6" s="7" t="s">
        <v>247</v>
      </c>
      <c r="E6" s="7" t="s">
        <v>82</v>
      </c>
    </row>
    <row r="7" customFormat="false" ht="15" hidden="false" customHeight="false" outlineLevel="0" collapsed="false">
      <c r="B7" s="36" t="s">
        <v>258</v>
      </c>
      <c r="C7" s="44" t="s">
        <v>259</v>
      </c>
      <c r="D7" s="42" t="n">
        <f aca="false">03_Breach_Characteristics!D7</f>
        <v>3.5</v>
      </c>
      <c r="E7" s="36" t="s">
        <v>88</v>
      </c>
    </row>
    <row r="8" customFormat="false" ht="15" hidden="false" customHeight="false" outlineLevel="0" collapsed="false">
      <c r="B8" s="36" t="s">
        <v>290</v>
      </c>
      <c r="C8" s="44" t="s">
        <v>152</v>
      </c>
      <c r="D8" s="42" t="n">
        <f aca="false">03_Breach_Characteristics!D8</f>
        <v>0</v>
      </c>
      <c r="E8" s="36" t="s">
        <v>88</v>
      </c>
    </row>
    <row r="9" customFormat="false" ht="15" hidden="false" customHeight="false" outlineLevel="0" collapsed="false">
      <c r="B9" s="36" t="s">
        <v>305</v>
      </c>
      <c r="C9" s="44" t="s">
        <v>119</v>
      </c>
      <c r="D9" s="42" t="n">
        <f aca="false">03_Breach_Characteristics!D17</f>
        <v>3.5</v>
      </c>
      <c r="E9" s="36" t="s">
        <v>88</v>
      </c>
    </row>
    <row r="10" customFormat="false" ht="15" hidden="false" customHeight="false" outlineLevel="0" collapsed="false">
      <c r="B10" s="36" t="s">
        <v>389</v>
      </c>
      <c r="C10" s="44" t="s">
        <v>128</v>
      </c>
      <c r="D10" s="42" t="n">
        <f aca="false">03_Breach_Characteristics!D9</f>
        <v>3</v>
      </c>
      <c r="E10" s="36" t="s">
        <v>88</v>
      </c>
    </row>
    <row r="11" customFormat="false" ht="15" hidden="false" customHeight="false" outlineLevel="0" collapsed="false">
      <c r="B11" s="36" t="s">
        <v>306</v>
      </c>
      <c r="C11" s="44" t="s">
        <v>143</v>
      </c>
      <c r="D11" s="42" t="n">
        <f aca="false">03_Breach_Characteristics!D18</f>
        <v>5</v>
      </c>
      <c r="E11" s="36" t="s">
        <v>134</v>
      </c>
    </row>
    <row r="12" customFormat="false" ht="15" hidden="false" customHeight="false" outlineLevel="0" collapsed="false">
      <c r="B12" s="36" t="s">
        <v>390</v>
      </c>
      <c r="C12" s="44" t="s">
        <v>175</v>
      </c>
      <c r="D12" s="5" t="n">
        <v>0.8</v>
      </c>
      <c r="E12" s="36" t="s">
        <v>134</v>
      </c>
    </row>
    <row r="13" customFormat="false" ht="15" hidden="false" customHeight="false" outlineLevel="0" collapsed="false">
      <c r="B13" s="36" t="s">
        <v>391</v>
      </c>
      <c r="C13" s="44" t="s">
        <v>93</v>
      </c>
      <c r="D13" s="42" t="n">
        <f aca="false">03_Breach_Characteristics!D47</f>
        <v>3.5</v>
      </c>
      <c r="E13" s="36" t="s">
        <v>88</v>
      </c>
    </row>
    <row r="14" customFormat="false" ht="15" hidden="false" customHeight="false" outlineLevel="0" collapsed="false">
      <c r="B14" s="36" t="s">
        <v>123</v>
      </c>
      <c r="C14" s="44" t="s">
        <v>123</v>
      </c>
      <c r="D14" s="42" t="n">
        <f aca="false">03_Breach_Characteristics!D48</f>
        <v>3.5</v>
      </c>
      <c r="E14" s="36" t="s">
        <v>88</v>
      </c>
    </row>
    <row r="15" customFormat="false" ht="15" hidden="false" customHeight="false" outlineLevel="0" collapsed="false">
      <c r="B15" s="36" t="s">
        <v>313</v>
      </c>
      <c r="C15" s="44" t="s">
        <v>392</v>
      </c>
      <c r="D15" s="42" t="n">
        <f aca="false">03_Breach_Characteristics!D49</f>
        <v>13000</v>
      </c>
      <c r="E15" s="36" t="s">
        <v>98</v>
      </c>
    </row>
    <row r="16" customFormat="false" ht="15" hidden="false" customHeight="false" outlineLevel="0" collapsed="false">
      <c r="B16" s="36" t="s">
        <v>316</v>
      </c>
      <c r="C16" s="44" t="s">
        <v>393</v>
      </c>
      <c r="D16" s="42" t="n">
        <f aca="false">03_Breach_Characteristics!D50</f>
        <v>0.8</v>
      </c>
      <c r="E16" s="36" t="s">
        <v>253</v>
      </c>
    </row>
    <row r="17" customFormat="false" ht="15" hidden="false" customHeight="false" outlineLevel="0" collapsed="false">
      <c r="B17" s="36" t="s">
        <v>394</v>
      </c>
      <c r="C17" s="44" t="s">
        <v>395</v>
      </c>
      <c r="D17" s="42" t="n">
        <f aca="false">03_Breach_Characteristics!D51</f>
        <v>1300</v>
      </c>
      <c r="E17" s="36" t="s">
        <v>98</v>
      </c>
    </row>
    <row r="18" customFormat="false" ht="15" hidden="false" customHeight="false" outlineLevel="0" collapsed="false">
      <c r="B18" s="36" t="s">
        <v>396</v>
      </c>
      <c r="C18" s="44" t="s">
        <v>301</v>
      </c>
      <c r="D18" s="42" t="n">
        <f aca="false">03_Breach_Characteristics!D15</f>
        <v>3.75</v>
      </c>
      <c r="E18" s="36" t="s">
        <v>348</v>
      </c>
    </row>
    <row r="19" customFormat="false" ht="15" hidden="false" customHeight="false" outlineLevel="0" collapsed="false">
      <c r="B19" s="36" t="s">
        <v>397</v>
      </c>
      <c r="C19" s="44" t="s">
        <v>304</v>
      </c>
      <c r="D19" s="42" t="n">
        <f aca="false">03_Breach_Characteristics!D16</f>
        <v>0.02</v>
      </c>
      <c r="E19" s="36" t="s">
        <v>348</v>
      </c>
    </row>
    <row r="20" customFormat="false" ht="15" hidden="false" customHeight="false" outlineLevel="0" collapsed="false">
      <c r="B20" s="36" t="s">
        <v>398</v>
      </c>
      <c r="C20" s="44" t="s">
        <v>399</v>
      </c>
      <c r="D20" s="5" t="n">
        <v>0.5</v>
      </c>
      <c r="E20" s="36" t="s">
        <v>88</v>
      </c>
    </row>
    <row r="23" customFormat="false" ht="15" hidden="false" customHeight="true" outlineLevel="0" collapsed="false">
      <c r="B23" s="4" t="s">
        <v>400</v>
      </c>
      <c r="C23" s="4"/>
      <c r="D23" s="4"/>
      <c r="E23" s="4"/>
    </row>
    <row r="24" customFormat="false" ht="15" hidden="false" customHeight="false" outlineLevel="0" collapsed="false">
      <c r="B24" s="38" t="s">
        <v>401</v>
      </c>
      <c r="C24" s="38" t="s">
        <v>186</v>
      </c>
      <c r="D24" s="39" t="n">
        <f aca="false">(D15/1233.48183754752)*(D14/0.3048)</f>
        <v>121.021818626775</v>
      </c>
      <c r="E24" s="38" t="s">
        <v>348</v>
      </c>
    </row>
    <row r="25" customFormat="false" ht="15" hidden="false" customHeight="false" outlineLevel="0" collapsed="false">
      <c r="B25" s="38" t="s">
        <v>402</v>
      </c>
      <c r="C25" s="38" t="s">
        <v>403</v>
      </c>
      <c r="D25" s="39" t="n">
        <f aca="false">D18*D24^0.77</f>
        <v>150.603927400417</v>
      </c>
      <c r="E25" s="38" t="s">
        <v>324</v>
      </c>
      <c r="F25" s="39" t="n">
        <f aca="false">D25*0.764554857984</f>
        <v>115.144964325458</v>
      </c>
      <c r="G25" s="38" t="s">
        <v>98</v>
      </c>
    </row>
    <row r="26" customFormat="false" ht="15" hidden="false" customHeight="false" outlineLevel="0" collapsed="false">
      <c r="B26" s="38" t="s">
        <v>325</v>
      </c>
      <c r="C26" s="38" t="s">
        <v>325</v>
      </c>
      <c r="D26" s="39" t="n">
        <f aca="false">(D9/0.3048)*((D10/0.3048)+(D9/0.3048)*D11/2)</f>
        <v>442.665815887187</v>
      </c>
      <c r="E26" s="38" t="s">
        <v>327</v>
      </c>
    </row>
    <row r="27" customFormat="false" ht="15" hidden="false" customHeight="false" outlineLevel="0" collapsed="false">
      <c r="B27" s="38" t="s">
        <v>328</v>
      </c>
      <c r="C27" s="38" t="s">
        <v>328</v>
      </c>
      <c r="D27" s="39" t="n">
        <f aca="false">(D9/0.3048)^2*((D10/0.3048)*D12+(D9/0.3048)*D12*D11/3)</f>
        <v>3057.07298252353</v>
      </c>
      <c r="E27" s="38" t="s">
        <v>330</v>
      </c>
    </row>
    <row r="28" customFormat="false" ht="15" hidden="false" customHeight="false" outlineLevel="0" collapsed="false">
      <c r="B28" s="38" t="s">
        <v>404</v>
      </c>
      <c r="C28" s="38" t="s">
        <v>405</v>
      </c>
      <c r="D28" s="39" t="n">
        <f aca="false">(D20/0.3048 * D26 + D27)/27</f>
        <v>140.119659888301</v>
      </c>
      <c r="E28" s="38" t="s">
        <v>324</v>
      </c>
      <c r="F28" s="39" t="n">
        <f aca="false">D28*0.764554857984</f>
        <v>107.129166666667</v>
      </c>
      <c r="G28" s="38" t="s">
        <v>98</v>
      </c>
    </row>
    <row r="29" customFormat="false" ht="15" hidden="false" customHeight="false" outlineLevel="0" collapsed="false">
      <c r="B29" s="38" t="s">
        <v>406</v>
      </c>
      <c r="C29" s="38" t="s">
        <v>407</v>
      </c>
      <c r="D29" s="47" t="str">
        <f aca="false">IF(D28&lt;=D25,"OK – within upper limit","EXCEEDS – reduce Wb or review")</f>
        <v>OK – within upper limit</v>
      </c>
      <c r="E29" s="47"/>
      <c r="F29" s="47"/>
      <c r="G29" s="47"/>
    </row>
    <row r="31" customFormat="false" ht="15" hidden="false" customHeight="true" outlineLevel="0" collapsed="false">
      <c r="B31" s="48" t="s">
        <v>408</v>
      </c>
      <c r="C31" s="48"/>
      <c r="D31" s="48"/>
      <c r="E31" s="48"/>
    </row>
    <row r="32" customFormat="false" ht="15" hidden="false" customHeight="false" outlineLevel="0" collapsed="false">
      <c r="B32" s="38" t="s">
        <v>334</v>
      </c>
      <c r="C32" s="38" t="s">
        <v>163</v>
      </c>
      <c r="D32" s="39" t="n">
        <f aca="false">D20 + D12*D14</f>
        <v>3.3</v>
      </c>
      <c r="E32" s="38" t="s">
        <v>88</v>
      </c>
    </row>
    <row r="33" customFormat="false" ht="15" hidden="false" customHeight="false" outlineLevel="0" collapsed="false">
      <c r="B33" s="38" t="s">
        <v>336</v>
      </c>
      <c r="C33" s="38" t="s">
        <v>167</v>
      </c>
      <c r="D33" s="39" t="n">
        <f aca="false">D20 + 2*D12*D14</f>
        <v>6.1</v>
      </c>
      <c r="E33" s="38" t="s">
        <v>88</v>
      </c>
    </row>
    <row r="34" customFormat="false" ht="15" hidden="false" customHeight="false" outlineLevel="0" collapsed="false">
      <c r="B34" s="38" t="s">
        <v>338</v>
      </c>
      <c r="C34" s="38" t="s">
        <v>171</v>
      </c>
      <c r="D34" s="39" t="n">
        <f aca="false">D20 + 2*D12*D9</f>
        <v>6.1</v>
      </c>
      <c r="E34" s="38" t="s">
        <v>88</v>
      </c>
    </row>
    <row r="35" customFormat="false" ht="15" hidden="false" customHeight="false" outlineLevel="0" collapsed="false">
      <c r="B35" s="38" t="s">
        <v>409</v>
      </c>
      <c r="C35" s="38" t="s">
        <v>410</v>
      </c>
      <c r="D35" s="39" t="n">
        <f aca="false">D19*D28^0.36</f>
        <v>0.118514001667588</v>
      </c>
      <c r="E35" s="38" t="s">
        <v>208</v>
      </c>
      <c r="F35" s="39" t="n">
        <f aca="false">D35*60</f>
        <v>7.1108401000553</v>
      </c>
      <c r="G35" s="38" t="s">
        <v>345</v>
      </c>
    </row>
    <row r="36" customFormat="false" ht="15" hidden="false" customHeight="false" outlineLevel="0" collapsed="false">
      <c r="B36" s="38" t="s">
        <v>411</v>
      </c>
      <c r="C36" s="38" t="s">
        <v>412</v>
      </c>
      <c r="D36" s="39" t="n">
        <f aca="false">23.4*(D16/0.40468564224)/(D32/0.3048)</f>
        <v>4.27256885902035</v>
      </c>
      <c r="E36" s="38" t="s">
        <v>348</v>
      </c>
    </row>
    <row r="37" customFormat="false" ht="15" hidden="false" customHeight="false" outlineLevel="0" collapsed="false">
      <c r="B37" s="38" t="s">
        <v>202</v>
      </c>
      <c r="C37" s="38" t="s">
        <v>202</v>
      </c>
      <c r="D37" s="39" t="n">
        <f aca="false">D36/(D36+D35*SQRT(D14/0.3048))</f>
        <v>0.914080529695022</v>
      </c>
      <c r="E37" s="38" t="s">
        <v>20</v>
      </c>
    </row>
    <row r="38" customFormat="false" ht="15" hidden="false" customHeight="false" outlineLevel="0" collapsed="false">
      <c r="B38" s="38" t="s">
        <v>413</v>
      </c>
      <c r="C38" s="38" t="s">
        <v>414</v>
      </c>
      <c r="D38" s="39" t="n">
        <f aca="false">3.1*(D32/0.3048)*(D14/0.3048)^1.5*(D37^3)*0.028316846592</f>
        <v>28.2448034374874</v>
      </c>
      <c r="E38" s="38" t="s">
        <v>109</v>
      </c>
    </row>
    <row r="39" customFormat="false" ht="15" hidden="false" customHeight="false" outlineLevel="0" collapsed="false">
      <c r="B39" s="38" t="s">
        <v>415</v>
      </c>
      <c r="C39" s="38" t="s">
        <v>416</v>
      </c>
      <c r="D39" s="39" t="n">
        <f aca="false">40.1*(D15/1233.48183754752)^0.295*(D14/0.3048)^1.24*0.028316846592</f>
        <v>46.922831036924</v>
      </c>
      <c r="E39" s="38" t="s">
        <v>109</v>
      </c>
    </row>
    <row r="40" customFormat="false" ht="15" hidden="false" customHeight="false" outlineLevel="0" collapsed="false">
      <c r="B40" s="38" t="s">
        <v>417</v>
      </c>
      <c r="C40" s="38" t="s">
        <v>198</v>
      </c>
      <c r="D40" s="42" t="n">
        <f aca="false">D38</f>
        <v>28.2448034374874</v>
      </c>
      <c r="E40" s="38" t="s">
        <v>109</v>
      </c>
    </row>
    <row r="41" customFormat="false" ht="15" hidden="false" customHeight="false" outlineLevel="0" collapsed="false">
      <c r="B41" s="38" t="s">
        <v>213</v>
      </c>
      <c r="C41" s="38" t="s">
        <v>418</v>
      </c>
      <c r="D41" s="39" t="n">
        <f aca="false">2*(D15+D17)/(D40*3600)</f>
        <v>0.281271011923571</v>
      </c>
      <c r="E41" s="38" t="s">
        <v>208</v>
      </c>
    </row>
  </sheetData>
  <mergeCells count="6">
    <mergeCell ref="B2:G2"/>
    <mergeCell ref="B3:G3"/>
    <mergeCell ref="B5:E5"/>
    <mergeCell ref="B23:E23"/>
    <mergeCell ref="D29:G29"/>
    <mergeCell ref="B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1" min="2" style="0" width="12"/>
    <col collapsed="false" customWidth="true" hidden="false" outlineLevel="0" max="12" min="12" style="0" width="14"/>
  </cols>
  <sheetData>
    <row r="1" customFormat="false" ht="16.15" hidden="false" customHeight="true" outlineLevel="0" collapsed="false">
      <c r="A1" s="43" t="s">
        <v>419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customFormat="false" ht="15" hidden="false" customHeight="false" outlineLevel="0" collapsed="false">
      <c r="A2" s="33" t="s">
        <v>420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4" customFormat="false" ht="15" hidden="false" customHeight="false" outlineLevel="0" collapsed="false">
      <c r="A4" s="41" t="s">
        <v>421</v>
      </c>
      <c r="B4" s="41"/>
      <c r="C4" s="41"/>
      <c r="D4" s="41"/>
    </row>
    <row r="5" customFormat="false" ht="15" hidden="false" customHeight="false" outlineLevel="0" collapsed="false">
      <c r="A5" s="0" t="s">
        <v>422</v>
      </c>
      <c r="B5" s="42" t="n">
        <f aca="false">03_Breach_Characteristics!D17</f>
        <v>3.5</v>
      </c>
      <c r="C5" s="6" t="s">
        <v>423</v>
      </c>
      <c r="D5" s="42" t="n">
        <f aca="false">03_Breach_Characteristics!F59</f>
        <v>1.4842747151074</v>
      </c>
    </row>
    <row r="6" customFormat="false" ht="15" hidden="false" customHeight="false" outlineLevel="0" collapsed="false">
      <c r="A6" s="0" t="s">
        <v>175</v>
      </c>
      <c r="B6" s="42" t="n">
        <f aca="false">03_Breach_Characteristics!D14</f>
        <v>0.5</v>
      </c>
      <c r="C6" s="6" t="s">
        <v>424</v>
      </c>
      <c r="D6" s="42" t="n">
        <f aca="false">03_Breach_Characteristics!F64</f>
        <v>7.29797402206456</v>
      </c>
    </row>
    <row r="7" customFormat="false" ht="15" hidden="false" customHeight="false" outlineLevel="0" collapsed="false">
      <c r="A7" s="0" t="s">
        <v>425</v>
      </c>
      <c r="B7" s="42" t="n">
        <f aca="false">03_Breach_Characteristics!D47</f>
        <v>3.5</v>
      </c>
      <c r="C7" s="6" t="s">
        <v>426</v>
      </c>
      <c r="D7" s="42" t="n">
        <f aca="false">03_Breach_Characteristics!D8</f>
        <v>0</v>
      </c>
    </row>
    <row r="8" customFormat="false" ht="15" hidden="false" customHeight="false" outlineLevel="0" collapsed="false">
      <c r="A8" s="0" t="s">
        <v>427</v>
      </c>
      <c r="B8" s="42" t="n">
        <f aca="false">03_Breach_Characteristics!D49</f>
        <v>13000</v>
      </c>
      <c r="C8" s="6" t="s">
        <v>428</v>
      </c>
      <c r="D8" s="5" t="n">
        <v>1</v>
      </c>
    </row>
    <row r="9" customFormat="false" ht="15" hidden="false" customHeight="false" outlineLevel="0" collapsed="false">
      <c r="A9" s="0" t="s">
        <v>429</v>
      </c>
      <c r="B9" s="5" t="n">
        <v>1</v>
      </c>
      <c r="C9" s="6" t="s">
        <v>430</v>
      </c>
      <c r="D9" s="5" t="n">
        <v>1.7</v>
      </c>
    </row>
    <row r="10" customFormat="false" ht="15" hidden="false" customHeight="false" outlineLevel="0" collapsed="false">
      <c r="A10" s="0" t="s">
        <v>431</v>
      </c>
      <c r="B10" s="5" t="n">
        <v>1.35</v>
      </c>
    </row>
    <row r="12" customFormat="false" ht="49.5" hidden="false" customHeight="true" outlineLevel="0" collapsed="false">
      <c r="A12" s="49" t="s">
        <v>432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</row>
    <row r="14" customFormat="false" ht="15" hidden="false" customHeight="true" outlineLevel="0" collapsed="false">
      <c r="A14" s="4" t="s">
        <v>433</v>
      </c>
      <c r="B14" s="4"/>
      <c r="C14" s="4"/>
      <c r="D14" s="4"/>
      <c r="E14" s="4"/>
      <c r="F14" s="4"/>
    </row>
    <row r="15" customFormat="false" ht="15" hidden="false" customHeight="false" outlineLevel="0" collapsed="false">
      <c r="A15" s="0" t="s">
        <v>434</v>
      </c>
      <c r="B15" s="42" t="n">
        <f aca="false">03_Breach_Characteristics!F69</f>
        <v>28.6662998354164</v>
      </c>
      <c r="C15" s="6" t="s">
        <v>435</v>
      </c>
      <c r="D15" s="42" t="n">
        <f aca="false">03_Breach_Characteristics!D64</f>
        <v>0.121632900367743</v>
      </c>
    </row>
    <row r="16" customFormat="false" ht="15" hidden="false" customHeight="false" outlineLevel="0" collapsed="false">
      <c r="A16" s="0" t="s">
        <v>436</v>
      </c>
      <c r="B16" s="39" t="n">
        <f aca="false">03_Breach_Characteristics!D49+03_Breach_Characteristics!D51</f>
        <v>14300</v>
      </c>
      <c r="C16" s="6" t="s">
        <v>437</v>
      </c>
      <c r="D16" s="42" t="n">
        <f aca="false">03_Breach_Characteristics!D70</f>
        <v>0.277135329291062</v>
      </c>
    </row>
    <row r="18" customFormat="false" ht="15" hidden="false" customHeight="false" outlineLevel="0" collapsed="false">
      <c r="A18" s="41" t="s">
        <v>438</v>
      </c>
      <c r="B18" s="41"/>
      <c r="C18" s="41"/>
      <c r="D18" s="41"/>
    </row>
    <row r="19" customFormat="false" ht="26.85" hidden="false" customHeight="false" outlineLevel="0" collapsed="false">
      <c r="A19" s="7" t="s">
        <v>439</v>
      </c>
      <c r="B19" s="7" t="s">
        <v>440</v>
      </c>
      <c r="C19" s="7" t="s">
        <v>441</v>
      </c>
    </row>
    <row r="20" customFormat="false" ht="15" hidden="false" customHeight="false" outlineLevel="0" collapsed="false">
      <c r="A20" s="39" t="n">
        <v>0</v>
      </c>
      <c r="B20" s="39" t="n">
        <v>0</v>
      </c>
      <c r="C20" s="39" t="n">
        <v>0</v>
      </c>
    </row>
    <row r="21" customFormat="false" ht="15" hidden="false" customHeight="false" outlineLevel="0" collapsed="false">
      <c r="A21" s="39" t="n">
        <f aca="false">D15/2</f>
        <v>0.0608164501838713</v>
      </c>
      <c r="B21" s="39" t="n">
        <f aca="false">B15/2</f>
        <v>14.3331499177082</v>
      </c>
      <c r="C21" s="39" t="n">
        <f aca="false">A21*60</f>
        <v>3.64898701103228</v>
      </c>
    </row>
    <row r="22" customFormat="false" ht="15" hidden="false" customHeight="false" outlineLevel="0" collapsed="false">
      <c r="A22" s="39" t="n">
        <f aca="false">D15</f>
        <v>0.121632900367743</v>
      </c>
      <c r="B22" s="39" t="n">
        <f aca="false">B15</f>
        <v>28.6662998354164</v>
      </c>
      <c r="C22" s="39" t="n">
        <f aca="false">A22*60</f>
        <v>7.29797402206456</v>
      </c>
    </row>
    <row r="23" customFormat="false" ht="15" hidden="false" customHeight="false" outlineLevel="0" collapsed="false">
      <c r="A23" s="39" t="n">
        <f aca="false">(D15+D16)/2</f>
        <v>0.199384114829402</v>
      </c>
      <c r="B23" s="39" t="n">
        <f aca="false">B15/2</f>
        <v>14.3331499177082</v>
      </c>
      <c r="C23" s="39" t="n">
        <f aca="false">A23*60</f>
        <v>11.9630468897641</v>
      </c>
    </row>
    <row r="24" customFormat="false" ht="15" hidden="false" customHeight="false" outlineLevel="0" collapsed="false">
      <c r="A24" s="39" t="n">
        <f aca="false">D16</f>
        <v>0.277135329291062</v>
      </c>
      <c r="B24" s="39" t="n">
        <v>0</v>
      </c>
      <c r="C24" s="39" t="n">
        <f aca="false">A24*60</f>
        <v>16.6281197574637</v>
      </c>
    </row>
  </sheetData>
  <mergeCells count="6">
    <mergeCell ref="A1:L1"/>
    <mergeCell ref="A2:L2"/>
    <mergeCell ref="A4:D4"/>
    <mergeCell ref="A12:L12"/>
    <mergeCell ref="A14:F14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7" min="6" style="0" width="12"/>
    <col collapsed="false" customWidth="true" hidden="false" outlineLevel="0" max="8" min="8" style="0" width="14"/>
  </cols>
  <sheetData>
    <row r="1" customFormat="false" ht="16.15" hidden="false" customHeight="true" outlineLevel="0" collapsed="false">
      <c r="A1" s="43" t="s">
        <v>442</v>
      </c>
      <c r="B1" s="43"/>
      <c r="C1" s="43"/>
      <c r="D1" s="43"/>
      <c r="E1" s="43"/>
      <c r="F1" s="43"/>
      <c r="G1" s="43"/>
      <c r="H1" s="43"/>
    </row>
    <row r="2" customFormat="false" ht="15" hidden="false" customHeight="false" outlineLevel="0" collapsed="false">
      <c r="A2" s="33" t="s">
        <v>443</v>
      </c>
      <c r="B2" s="33"/>
      <c r="C2" s="33"/>
      <c r="D2" s="33"/>
      <c r="E2" s="33"/>
      <c r="F2" s="33"/>
      <c r="G2" s="33"/>
      <c r="H2" s="33"/>
    </row>
    <row r="4" customFormat="false" ht="15" hidden="false" customHeight="false" outlineLevel="0" collapsed="false">
      <c r="A4" s="41" t="s">
        <v>444</v>
      </c>
      <c r="B4" s="41"/>
      <c r="C4" s="41"/>
      <c r="D4" s="41"/>
    </row>
    <row r="5" customFormat="false" ht="15" hidden="false" customHeight="false" outlineLevel="0" collapsed="false">
      <c r="A5" s="0" t="s">
        <v>445</v>
      </c>
      <c r="B5" s="5" t="n">
        <v>130000</v>
      </c>
      <c r="C5" s="6" t="s">
        <v>446</v>
      </c>
      <c r="D5" s="5" t="n">
        <v>50000</v>
      </c>
    </row>
    <row r="6" customFormat="false" ht="15" hidden="false" customHeight="false" outlineLevel="0" collapsed="false">
      <c r="A6" s="0" t="s">
        <v>447</v>
      </c>
      <c r="B6" s="5" t="n">
        <v>100</v>
      </c>
      <c r="C6" s="6" t="s">
        <v>448</v>
      </c>
      <c r="D6" s="5" t="n">
        <v>21</v>
      </c>
    </row>
    <row r="7" customFormat="false" ht="15" hidden="false" customHeight="false" outlineLevel="0" collapsed="false">
      <c r="A7" s="0" t="s">
        <v>449</v>
      </c>
      <c r="B7" s="5" t="n">
        <v>3</v>
      </c>
      <c r="C7" s="6" t="s">
        <v>435</v>
      </c>
      <c r="D7" s="39" t="n">
        <f aca="false">D6/60</f>
        <v>0.35</v>
      </c>
    </row>
    <row r="8" customFormat="false" ht="15" hidden="false" customHeight="false" outlineLevel="0" collapsed="false">
      <c r="A8" s="0" t="s">
        <v>450</v>
      </c>
      <c r="B8" s="39" t="n">
        <f aca="false">B5+D5</f>
        <v>180000</v>
      </c>
      <c r="C8" s="6" t="s">
        <v>451</v>
      </c>
      <c r="D8" s="39" t="n">
        <f aca="false">6.5*((B6*D7*3600)/B8)^1.92</f>
        <v>3.27718979236933</v>
      </c>
    </row>
    <row r="9" customFormat="false" ht="15" hidden="false" customHeight="false" outlineLevel="0" collapsed="false">
      <c r="A9" s="0" t="s">
        <v>452</v>
      </c>
      <c r="B9" s="5" t="n">
        <v>3.24</v>
      </c>
      <c r="C9" s="6" t="s">
        <v>453</v>
      </c>
      <c r="D9" s="50" t="s">
        <v>454</v>
      </c>
    </row>
    <row r="11" customFormat="false" ht="15" hidden="false" customHeight="true" outlineLevel="0" collapsed="false">
      <c r="A11" s="4" t="s">
        <v>455</v>
      </c>
      <c r="B11" s="4"/>
      <c r="C11" s="4"/>
      <c r="D11" s="4"/>
      <c r="E11" s="4"/>
      <c r="F11" s="4"/>
      <c r="G11" s="4"/>
    </row>
    <row r="12" customFormat="false" ht="26.85" hidden="false" customHeight="false" outlineLevel="0" collapsed="false">
      <c r="A12" s="7" t="s">
        <v>439</v>
      </c>
      <c r="B12" s="7" t="s">
        <v>456</v>
      </c>
      <c r="C12" s="7" t="s">
        <v>457</v>
      </c>
      <c r="D12" s="7" t="s">
        <v>458</v>
      </c>
      <c r="E12" s="7" t="s">
        <v>459</v>
      </c>
      <c r="F12" s="7" t="s">
        <v>460</v>
      </c>
      <c r="G12" s="7" t="s">
        <v>440</v>
      </c>
    </row>
    <row r="13" customFormat="false" ht="15" hidden="false" customHeight="false" outlineLevel="0" collapsed="false">
      <c r="A13" s="39" t="n">
        <v>0</v>
      </c>
      <c r="B13" s="39" t="n">
        <f aca="false">A13/$D$7</f>
        <v>0</v>
      </c>
      <c r="C13" s="39" t="n">
        <f aca="false">EXP(1-B13)</f>
        <v>2.71828182845905</v>
      </c>
      <c r="D13" s="39" t="n">
        <f aca="false">IF(B13=0,0,(B13*C13)^$B$9)</f>
        <v>0</v>
      </c>
      <c r="E13" s="39" t="n">
        <f aca="false">D13*$B$6*3600</f>
        <v>0</v>
      </c>
      <c r="F13" s="39" t="n">
        <v>0</v>
      </c>
      <c r="G13" s="39" t="n">
        <f aca="false">E13/3600</f>
        <v>0</v>
      </c>
    </row>
    <row r="14" customFormat="false" ht="15" hidden="false" customHeight="false" outlineLevel="0" collapsed="false">
      <c r="A14" s="39" t="n">
        <f aca="false">A13+$B$7/60</f>
        <v>0.05</v>
      </c>
      <c r="B14" s="39" t="n">
        <f aca="false">A14/$D$7</f>
        <v>0.142857142857143</v>
      </c>
      <c r="C14" s="39" t="n">
        <f aca="false">EXP(1-B14)</f>
        <v>2.35641844238366</v>
      </c>
      <c r="D14" s="39" t="n">
        <f aca="false">IF(B14=0,0,(B14*C14)^$B$9)</f>
        <v>0.0293751551216023</v>
      </c>
      <c r="E14" s="39" t="n">
        <f aca="false">D14*$B$6*3600</f>
        <v>10575.0558437768</v>
      </c>
      <c r="F14" s="39" t="n">
        <f aca="false">0.5*(E14+E13)*($B$7/60)</f>
        <v>264.376396094421</v>
      </c>
      <c r="G14" s="39" t="n">
        <f aca="false">E14/3600</f>
        <v>2.93751551216023</v>
      </c>
    </row>
    <row r="15" customFormat="false" ht="15" hidden="false" customHeight="false" outlineLevel="0" collapsed="false">
      <c r="A15" s="39" t="n">
        <f aca="false">A14+$B$7/60</f>
        <v>0.1</v>
      </c>
      <c r="B15" s="39" t="n">
        <f aca="false">A15/$D$7</f>
        <v>0.285714285714286</v>
      </c>
      <c r="C15" s="39" t="n">
        <f aca="false">EXP(1-B15)</f>
        <v>2.04272707026614</v>
      </c>
      <c r="D15" s="39" t="n">
        <f aca="false">IF(B15=0,0,(B15*C15)^$B$9)</f>
        <v>0.174703277088774</v>
      </c>
      <c r="E15" s="39" t="n">
        <f aca="false">D15*$B$6*3600</f>
        <v>62893.1797519585</v>
      </c>
      <c r="F15" s="39" t="n">
        <f aca="false">0.5*(E15+E14)*($B$7/60)</f>
        <v>1836.70588989338</v>
      </c>
      <c r="G15" s="39" t="n">
        <f aca="false">E15/3600</f>
        <v>17.4703277088774</v>
      </c>
    </row>
    <row r="16" customFormat="false" ht="15" hidden="false" customHeight="false" outlineLevel="0" collapsed="false">
      <c r="A16" s="39" t="n">
        <f aca="false">A15+$B$7/60</f>
        <v>0.15</v>
      </c>
      <c r="B16" s="39" t="n">
        <f aca="false">A16/$D$7</f>
        <v>0.428571428571429</v>
      </c>
      <c r="C16" s="39" t="n">
        <f aca="false">EXP(1-B16)</f>
        <v>1.77079495243516</v>
      </c>
      <c r="D16" s="39" t="n">
        <f aca="false">IF(B16=0,0,(B16*C16)^$B$9)</f>
        <v>0.409091473553351</v>
      </c>
      <c r="E16" s="39" t="n">
        <f aca="false">D16*$B$6*3600</f>
        <v>147272.930479206</v>
      </c>
      <c r="F16" s="39" t="n">
        <f aca="false">0.5*(E16+E15)*($B$7/60)</f>
        <v>5254.15275577912</v>
      </c>
      <c r="G16" s="39" t="n">
        <f aca="false">E16/3600</f>
        <v>40.9091473553351</v>
      </c>
    </row>
    <row r="17" customFormat="false" ht="15" hidden="false" customHeight="false" outlineLevel="0" collapsed="false">
      <c r="A17" s="39" t="n">
        <f aca="false">A16+$B$7/60</f>
        <v>0.2</v>
      </c>
      <c r="B17" s="39" t="n">
        <f aca="false">A17/$D$7</f>
        <v>0.571428571428572</v>
      </c>
      <c r="C17" s="39" t="n">
        <f aca="false">EXP(1-B17)</f>
        <v>1.53506300925521</v>
      </c>
      <c r="D17" s="39" t="n">
        <f aca="false">IF(B17=0,0,(B17*C17)^$B$9)</f>
        <v>0.65404199023132</v>
      </c>
      <c r="E17" s="39" t="n">
        <f aca="false">D17*$B$6*3600</f>
        <v>235455.116483275</v>
      </c>
      <c r="F17" s="39" t="n">
        <f aca="false">0.5*(E17+E16)*($B$7/60)</f>
        <v>9568.20117406204</v>
      </c>
      <c r="G17" s="39" t="n">
        <f aca="false">E17/3600</f>
        <v>65.404199023132</v>
      </c>
    </row>
    <row r="18" customFormat="false" ht="15" hidden="false" customHeight="false" outlineLevel="0" collapsed="false">
      <c r="A18" s="39" t="n">
        <f aca="false">A17+$B$7/60</f>
        <v>0.25</v>
      </c>
      <c r="B18" s="39" t="n">
        <f aca="false">A18/$D$7</f>
        <v>0.714285714285714</v>
      </c>
      <c r="C18" s="39" t="n">
        <f aca="false">EXP(1-B18)</f>
        <v>1.33071219744735</v>
      </c>
      <c r="D18" s="39" t="n">
        <f aca="false">IF(B18=0,0,(B18*C18)^$B$9)</f>
        <v>0.848355286555939</v>
      </c>
      <c r="E18" s="39" t="n">
        <f aca="false">D18*$B$6*3600</f>
        <v>305407.903160138</v>
      </c>
      <c r="F18" s="39" t="n">
        <f aca="false">0.5*(E18+E17)*($B$7/60)</f>
        <v>13521.5754910853</v>
      </c>
      <c r="G18" s="39" t="n">
        <f aca="false">E18/3600</f>
        <v>84.8355286555939</v>
      </c>
    </row>
    <row r="19" customFormat="false" ht="15" hidden="false" customHeight="false" outlineLevel="0" collapsed="false">
      <c r="A19" s="39" t="n">
        <f aca="false">A18+$B$7/60</f>
        <v>0.3</v>
      </c>
      <c r="B19" s="39" t="n">
        <f aca="false">A19/$D$7</f>
        <v>0.857142857142857</v>
      </c>
      <c r="C19" s="39" t="n">
        <f aca="false">EXP(1-B19)</f>
        <v>1.15356499489511</v>
      </c>
      <c r="D19" s="39" t="n">
        <f aca="false">IF(B19=0,0,(B19*C19)^$B$9)</f>
        <v>0.964070301866571</v>
      </c>
      <c r="E19" s="39" t="n">
        <f aca="false">D19*$B$6*3600</f>
        <v>347065.308671965</v>
      </c>
      <c r="F19" s="39" t="n">
        <f aca="false">0.5*(E19+E18)*($B$7/60)</f>
        <v>16311.8302958026</v>
      </c>
      <c r="G19" s="39" t="n">
        <f aca="false">E19/3600</f>
        <v>96.4070301866571</v>
      </c>
    </row>
    <row r="20" customFormat="false" ht="15" hidden="false" customHeight="false" outlineLevel="0" collapsed="false">
      <c r="A20" s="39" t="n">
        <f aca="false">A19+$B$7/60</f>
        <v>0.35</v>
      </c>
      <c r="B20" s="39" t="n">
        <f aca="false">A20/$D$7</f>
        <v>1</v>
      </c>
      <c r="C20" s="39" t="n">
        <f aca="false">EXP(1-B20)</f>
        <v>1</v>
      </c>
      <c r="D20" s="39" t="n">
        <f aca="false">IF(B20=0,0,(B20*C20)^$B$9)</f>
        <v>1</v>
      </c>
      <c r="E20" s="39" t="n">
        <f aca="false">D20*$B$6*3600</f>
        <v>360000</v>
      </c>
      <c r="F20" s="39" t="n">
        <f aca="false">0.5*(E20+E19)*($B$7/60)</f>
        <v>17676.6327167991</v>
      </c>
      <c r="G20" s="39" t="n">
        <f aca="false">E20/3600</f>
        <v>100</v>
      </c>
    </row>
    <row r="21" customFormat="false" ht="15" hidden="false" customHeight="false" outlineLevel="0" collapsed="false">
      <c r="A21" s="39" t="n">
        <f aca="false">A20+$B$7/60</f>
        <v>0.4</v>
      </c>
      <c r="B21" s="39" t="n">
        <f aca="false">A21/$D$7</f>
        <v>1.14285714285714</v>
      </c>
      <c r="C21" s="39" t="n">
        <f aca="false">EXP(1-B21)</f>
        <v>0.866877899750182</v>
      </c>
      <c r="D21" s="39" t="n">
        <f aca="false">IF(B21=0,0,(B21*C21)^$B$9)</f>
        <v>0.970236492253572</v>
      </c>
      <c r="E21" s="39" t="n">
        <f aca="false">D21*$B$6*3600</f>
        <v>349285.137211286</v>
      </c>
      <c r="F21" s="39" t="n">
        <f aca="false">0.5*(E21+E20)*($B$7/60)</f>
        <v>17732.1284302821</v>
      </c>
      <c r="G21" s="39" t="n">
        <f aca="false">E21/3600</f>
        <v>97.0236492253572</v>
      </c>
    </row>
    <row r="22" customFormat="false" ht="15" hidden="false" customHeight="false" outlineLevel="0" collapsed="false">
      <c r="A22" s="39" t="n">
        <f aca="false">A21+$B$7/60</f>
        <v>0.45</v>
      </c>
      <c r="B22" s="39" t="n">
        <f aca="false">A22/$D$7</f>
        <v>1.28571428571429</v>
      </c>
      <c r="C22" s="39" t="n">
        <f aca="false">EXP(1-B22)</f>
        <v>0.751477293075286</v>
      </c>
      <c r="D22" s="39" t="n">
        <f aca="false">IF(B22=0,0,(B22*C22)^$B$9)</f>
        <v>0.894531163088397</v>
      </c>
      <c r="E22" s="39" t="n">
        <f aca="false">D22*$B$6*3600</f>
        <v>322031.218711823</v>
      </c>
      <c r="F22" s="39" t="n">
        <f aca="false">0.5*(E22+E21)*($B$7/60)</f>
        <v>16782.9088980777</v>
      </c>
      <c r="G22" s="39" t="n">
        <f aca="false">E22/3600</f>
        <v>89.4531163088397</v>
      </c>
    </row>
    <row r="23" customFormat="false" ht="15" hidden="false" customHeight="false" outlineLevel="0" collapsed="false">
      <c r="A23" s="39" t="n">
        <f aca="false">A22+$B$7/60</f>
        <v>0.5</v>
      </c>
      <c r="B23" s="39" t="n">
        <f aca="false">A23/$D$7</f>
        <v>1.42857142857143</v>
      </c>
      <c r="C23" s="39" t="n">
        <f aca="false">EXP(1-B23)</f>
        <v>0.651439057531056</v>
      </c>
      <c r="D23" s="39" t="n">
        <f aca="false">IF(B23=0,0,(B23*C23)^$B$9)</f>
        <v>0.792197451959648</v>
      </c>
      <c r="E23" s="39" t="n">
        <f aca="false">D23*$B$6*3600</f>
        <v>285191.082705473</v>
      </c>
      <c r="F23" s="39" t="n">
        <f aca="false">0.5*(E23+E22)*($B$7/60)</f>
        <v>15180.5575354324</v>
      </c>
      <c r="G23" s="39" t="n">
        <f aca="false">E23/3600</f>
        <v>79.2197451959648</v>
      </c>
    </row>
    <row r="24" customFormat="false" ht="15" hidden="false" customHeight="false" outlineLevel="0" collapsed="false">
      <c r="A24" s="39" t="n">
        <f aca="false">A23+$B$7/60</f>
        <v>0.55</v>
      </c>
      <c r="B24" s="39" t="n">
        <f aca="false">A24/$D$7</f>
        <v>1.57142857142857</v>
      </c>
      <c r="C24" s="39" t="n">
        <f aca="false">EXP(1-B24)</f>
        <v>0.564718122007759</v>
      </c>
      <c r="D24" s="39" t="n">
        <f aca="false">IF(B24=0,0,(B24*C24)^$B$9)</f>
        <v>0.679093288054146</v>
      </c>
      <c r="E24" s="39" t="n">
        <f aca="false">D24*$B$6*3600</f>
        <v>244473.583699492</v>
      </c>
      <c r="F24" s="39" t="n">
        <f aca="false">0.5*(E24+E23)*($B$7/60)</f>
        <v>13241.6166601241</v>
      </c>
      <c r="G24" s="39" t="n">
        <f aca="false">E24/3600</f>
        <v>67.9093288054146</v>
      </c>
    </row>
    <row r="25" customFormat="false" ht="15" hidden="false" customHeight="false" outlineLevel="0" collapsed="false">
      <c r="A25" s="39" t="n">
        <f aca="false">A24+$B$7/60</f>
        <v>0.6</v>
      </c>
      <c r="B25" s="39" t="n">
        <f aca="false">A25/$D$7</f>
        <v>1.71428571428571</v>
      </c>
      <c r="C25" s="39" t="n">
        <f aca="false">EXP(1-B25)</f>
        <v>0.489541659556953</v>
      </c>
      <c r="D25" s="39" t="n">
        <f aca="false">IF(B25=0,0,(B25*C25)^$B$9)</f>
        <v>0.566693292518853</v>
      </c>
      <c r="E25" s="39" t="n">
        <f aca="false">D25*$B$6*3600</f>
        <v>204009.585306787</v>
      </c>
      <c r="F25" s="39" t="n">
        <f aca="false">0.5*(E25+E24)*($B$7/60)</f>
        <v>11212.079225157</v>
      </c>
      <c r="G25" s="39" t="n">
        <f aca="false">E25/3600</f>
        <v>56.6693292518853</v>
      </c>
    </row>
    <row r="26" customFormat="false" ht="15" hidden="false" customHeight="false" outlineLevel="0" collapsed="false">
      <c r="A26" s="39" t="n">
        <f aca="false">A25+$B$7/60</f>
        <v>0.65</v>
      </c>
      <c r="B26" s="39" t="n">
        <f aca="false">A26/$D$7</f>
        <v>1.85714285714286</v>
      </c>
      <c r="C26" s="39" t="n">
        <f aca="false">EXP(1-B26)</f>
        <v>0.42437284567695</v>
      </c>
      <c r="D26" s="39" t="n">
        <f aca="false">IF(B26=0,0,(B26*C26)^$B$9)</f>
        <v>0.46233949416426</v>
      </c>
      <c r="E26" s="39" t="n">
        <f aca="false">D26*$B$6*3600</f>
        <v>166442.217899134</v>
      </c>
      <c r="F26" s="39" t="n">
        <f aca="false">0.5*(E26+E25)*($B$7/60)</f>
        <v>9261.29508014802</v>
      </c>
      <c r="G26" s="39" t="n">
        <f aca="false">E26/3600</f>
        <v>46.233949416426</v>
      </c>
    </row>
    <row r="27" customFormat="false" ht="15" hidden="false" customHeight="false" outlineLevel="0" collapsed="false">
      <c r="A27" s="39" t="n">
        <f aca="false">A26+$B$7/60</f>
        <v>0.7</v>
      </c>
      <c r="B27" s="39" t="n">
        <f aca="false">A27/$D$7</f>
        <v>2</v>
      </c>
      <c r="C27" s="39" t="n">
        <f aca="false">EXP(1-B27)</f>
        <v>0.367879441171442</v>
      </c>
      <c r="D27" s="39" t="n">
        <f aca="false">IF(B27=0,0,(B27*C27)^$B$9)</f>
        <v>0.370018181639197</v>
      </c>
      <c r="E27" s="39" t="n">
        <f aca="false">D27*$B$6*3600</f>
        <v>133206.545390111</v>
      </c>
      <c r="F27" s="39" t="n">
        <f aca="false">0.5*(E27+E26)*($B$7/60)</f>
        <v>7491.21908223112</v>
      </c>
      <c r="G27" s="39" t="n">
        <f aca="false">E27/3600</f>
        <v>37.0018181639197</v>
      </c>
    </row>
    <row r="28" customFormat="false" ht="15" hidden="false" customHeight="false" outlineLevel="0" collapsed="false">
      <c r="A28" s="39" t="n">
        <f aca="false">A27+$B$7/60</f>
        <v>0.75</v>
      </c>
      <c r="B28" s="39" t="n">
        <f aca="false">A28/$D$7</f>
        <v>2.14285714285714</v>
      </c>
      <c r="C28" s="39" t="n">
        <f aca="false">EXP(1-B28)</f>
        <v>0.31890655732397</v>
      </c>
      <c r="D28" s="39" t="n">
        <f aca="false">IF(B28=0,0,(B28*C28)^$B$9)</f>
        <v>0.291264533701797</v>
      </c>
      <c r="E28" s="39" t="n">
        <f aca="false">D28*$B$6*3600</f>
        <v>104855.232132647</v>
      </c>
      <c r="F28" s="39" t="n">
        <f aca="false">0.5*(E28+E27)*($B$7/60)</f>
        <v>5951.54443806894</v>
      </c>
      <c r="G28" s="39" t="n">
        <f aca="false">E28/3600</f>
        <v>29.1264533701797</v>
      </c>
    </row>
    <row r="29" customFormat="false" ht="15" hidden="false" customHeight="false" outlineLevel="0" collapsed="false">
      <c r="A29" s="39" t="n">
        <f aca="false">A28+$B$7/60</f>
        <v>0.8</v>
      </c>
      <c r="B29" s="39" t="n">
        <f aca="false">A29/$D$7</f>
        <v>2.28571428571429</v>
      </c>
      <c r="C29" s="39" t="n">
        <f aca="false">EXP(1-B29)</f>
        <v>0.276453046629564</v>
      </c>
      <c r="D29" s="39" t="n">
        <f aca="false">IF(B29=0,0,(B29*C29)^$B$9)</f>
        <v>0.225987473418763</v>
      </c>
      <c r="E29" s="39" t="n">
        <f aca="false">D29*$B$6*3600</f>
        <v>81355.4904307546</v>
      </c>
      <c r="F29" s="39" t="n">
        <f aca="false">0.5*(E29+E28)*($B$7/60)</f>
        <v>4655.26806408503</v>
      </c>
      <c r="G29" s="39" t="n">
        <f aca="false">E29/3600</f>
        <v>22.5987473418763</v>
      </c>
    </row>
    <row r="30" customFormat="false" ht="15" hidden="false" customHeight="false" outlineLevel="0" collapsed="false">
      <c r="A30" s="39" t="n">
        <f aca="false">A29+$B$7/60</f>
        <v>0.85</v>
      </c>
      <c r="B30" s="39" t="n">
        <f aca="false">A30/$D$7</f>
        <v>2.42857142857143</v>
      </c>
      <c r="C30" s="39" t="n">
        <f aca="false">EXP(1-B30)</f>
        <v>0.239651036441776</v>
      </c>
      <c r="D30" s="39" t="n">
        <f aca="false">IF(B30=0,0,(B30*C30)^$B$9)</f>
        <v>0.173130596403172</v>
      </c>
      <c r="E30" s="39" t="n">
        <f aca="false">D30*$B$6*3600</f>
        <v>62327.014705142</v>
      </c>
      <c r="F30" s="39" t="n">
        <f aca="false">0.5*(E30+E29)*($B$7/60)</f>
        <v>3592.06262839741</v>
      </c>
      <c r="G30" s="39" t="n">
        <f aca="false">E30/3600</f>
        <v>17.3130596403172</v>
      </c>
    </row>
    <row r="31" customFormat="false" ht="15" hidden="false" customHeight="false" outlineLevel="0" collapsed="false">
      <c r="A31" s="39" t="n">
        <f aca="false">A30+$B$7/60</f>
        <v>0.9</v>
      </c>
      <c r="B31" s="39" t="n">
        <f aca="false">A31/$D$7</f>
        <v>2.57142857142857</v>
      </c>
      <c r="C31" s="39" t="n">
        <f aca="false">EXP(1-B31)</f>
        <v>0.207748187143601</v>
      </c>
      <c r="D31" s="39" t="n">
        <f aca="false">IF(B31=0,0,(B31*C31)^$B$9)</f>
        <v>0.13115532661919</v>
      </c>
      <c r="E31" s="39" t="n">
        <f aca="false">D31*$B$6*3600</f>
        <v>47215.9175829082</v>
      </c>
      <c r="F31" s="39" t="n">
        <f aca="false">0.5*(E31+E30)*($B$7/60)</f>
        <v>2738.57330720126</v>
      </c>
      <c r="G31" s="39" t="n">
        <f aca="false">E31/3600</f>
        <v>13.1155326619189</v>
      </c>
    </row>
    <row r="32" customFormat="false" ht="15" hidden="false" customHeight="false" outlineLevel="0" collapsed="false">
      <c r="A32" s="39" t="n">
        <f aca="false">A31+$B$7/60</f>
        <v>0.95</v>
      </c>
      <c r="B32" s="39" t="n">
        <f aca="false">A32/$D$7</f>
        <v>2.71428571428572</v>
      </c>
      <c r="C32" s="39" t="n">
        <f aca="false">EXP(1-B32)</f>
        <v>0.180092312147952</v>
      </c>
      <c r="D32" s="39" t="n">
        <f aca="false">IF(B32=0,0,(B32*C32)^$B$9)</f>
        <v>0.0983667631620226</v>
      </c>
      <c r="E32" s="39" t="n">
        <f aca="false">D32*$B$6*3600</f>
        <v>35412.0347383281</v>
      </c>
      <c r="F32" s="39" t="n">
        <f aca="false">0.5*(E32+E31)*($B$7/60)</f>
        <v>2065.69880803091</v>
      </c>
      <c r="G32" s="39" t="n">
        <f aca="false">E32/3600</f>
        <v>9.83667631620226</v>
      </c>
    </row>
    <row r="33" customFormat="false" ht="15" hidden="false" customHeight="false" outlineLevel="0" collapsed="false">
      <c r="A33" s="39" t="n">
        <f aca="false">A32+$B$7/60</f>
        <v>1</v>
      </c>
      <c r="B33" s="39" t="n">
        <f aca="false">A33/$D$7</f>
        <v>2.85714285714286</v>
      </c>
      <c r="C33" s="39" t="n">
        <f aca="false">EXP(1-B33)</f>
        <v>0.156118045315971</v>
      </c>
      <c r="D33" s="39" t="n">
        <f aca="false">IF(B33=0,0,(B33*C33)^$B$9)</f>
        <v>0.0731151872588062</v>
      </c>
      <c r="E33" s="39" t="n">
        <f aca="false">D33*$B$6*3600</f>
        <v>26321.4674131702</v>
      </c>
      <c r="F33" s="39" t="n">
        <f aca="false">0.5*(E33+E32)*($B$7/60)</f>
        <v>1543.33755378746</v>
      </c>
      <c r="G33" s="39" t="n">
        <f aca="false">E33/3600</f>
        <v>7.31151872588062</v>
      </c>
    </row>
    <row r="34" customFormat="false" ht="15" hidden="false" customHeight="false" outlineLevel="0" collapsed="false">
      <c r="A34" s="39" t="n">
        <f aca="false">A33+$B$7/60</f>
        <v>1.05</v>
      </c>
      <c r="B34" s="39" t="n">
        <f aca="false">A34/$D$7</f>
        <v>3</v>
      </c>
      <c r="C34" s="39" t="n">
        <f aca="false">EXP(1-B34)</f>
        <v>0.135335283236613</v>
      </c>
      <c r="D34" s="39" t="n">
        <f aca="false">IF(B34=0,0,(B34*C34)^$B$9)</f>
        <v>0.0539069328671957</v>
      </c>
      <c r="E34" s="39" t="n">
        <f aca="false">D34*$B$6*3600</f>
        <v>19406.4958321904</v>
      </c>
      <c r="F34" s="39" t="n">
        <f aca="false">0.5*(E34+E33)*($B$7/60)</f>
        <v>1143.19908113402</v>
      </c>
      <c r="G34" s="39" t="n">
        <f aca="false">E34/3600</f>
        <v>5.39069328671957</v>
      </c>
    </row>
    <row r="35" customFormat="false" ht="15" hidden="false" customHeight="false" outlineLevel="0" collapsed="false">
      <c r="A35" s="39" t="n">
        <f aca="false">A34+$B$7/60</f>
        <v>1.1</v>
      </c>
      <c r="B35" s="39" t="n">
        <f aca="false">A35/$D$7</f>
        <v>3.14285714285714</v>
      </c>
      <c r="C35" s="39" t="n">
        <f aca="false">EXP(1-B35)</f>
        <v>0.117319166094251</v>
      </c>
      <c r="D35" s="39" t="n">
        <f aca="false">IF(B35=0,0,(B35*C35)^$B$9)</f>
        <v>0.0394536593455755</v>
      </c>
      <c r="E35" s="39" t="n">
        <f aca="false">D35*$B$6*3600</f>
        <v>14203.3173644072</v>
      </c>
      <c r="F35" s="39" t="n">
        <f aca="false">0.5*(E35+E34)*($B$7/60)</f>
        <v>840.245329914941</v>
      </c>
      <c r="G35" s="39" t="n">
        <f aca="false">E35/3600</f>
        <v>3.94536593455755</v>
      </c>
    </row>
    <row r="36" customFormat="false" ht="15" hidden="false" customHeight="false" outlineLevel="0" collapsed="false">
      <c r="A36" s="39" t="n">
        <f aca="false">A35+$B$7/60</f>
        <v>1.15</v>
      </c>
      <c r="B36" s="39" t="n">
        <f aca="false">A36/$D$7</f>
        <v>3.28571428571429</v>
      </c>
      <c r="C36" s="39" t="n">
        <f aca="false">EXP(1-B36)</f>
        <v>0.101701392304227</v>
      </c>
      <c r="D36" s="39" t="n">
        <f aca="false">IF(B36=0,0,(B36*C36)^$B$9)</f>
        <v>0.0286826775236527</v>
      </c>
      <c r="E36" s="39" t="n">
        <f aca="false">D36*$B$6*3600</f>
        <v>10325.763908515</v>
      </c>
      <c r="F36" s="39" t="n">
        <f aca="false">0.5*(E36+E35)*($B$7/60)</f>
        <v>613.227031823055</v>
      </c>
      <c r="G36" s="39" t="n">
        <f aca="false">E36/3600</f>
        <v>2.86826775236527</v>
      </c>
    </row>
    <row r="37" customFormat="false" ht="15" hidden="false" customHeight="false" outlineLevel="0" collapsed="false">
      <c r="A37" s="39" t="n">
        <f aca="false">A36+$B$7/60</f>
        <v>1.2</v>
      </c>
      <c r="B37" s="39" t="n">
        <f aca="false">A37/$D$7</f>
        <v>3.42857142857143</v>
      </c>
      <c r="C37" s="39" t="n">
        <f aca="false">EXP(1-B37)</f>
        <v>0.0881626893623573</v>
      </c>
      <c r="D37" s="39" t="n">
        <f aca="false">IF(B37=0,0,(B37*C37)^$B$9)</f>
        <v>0.0207247653275418</v>
      </c>
      <c r="E37" s="39" t="n">
        <f aca="false">D37*$B$6*3600</f>
        <v>7460.91551791505</v>
      </c>
      <c r="F37" s="39" t="n">
        <f aca="false">0.5*(E37+E36)*($B$7/60)</f>
        <v>444.666985660751</v>
      </c>
      <c r="G37" s="39" t="n">
        <f aca="false">E37/3600</f>
        <v>2.07247653275418</v>
      </c>
    </row>
    <row r="38" customFormat="false" ht="15" hidden="false" customHeight="false" outlineLevel="0" collapsed="false">
      <c r="A38" s="39" t="n">
        <f aca="false">A37+$B$7/60</f>
        <v>1.25</v>
      </c>
      <c r="B38" s="39" t="n">
        <f aca="false">A38/$D$7</f>
        <v>3.57142857142857</v>
      </c>
      <c r="C38" s="39" t="n">
        <f aca="false">EXP(1-B38)</f>
        <v>0.076426286990768</v>
      </c>
      <c r="D38" s="39" t="n">
        <f aca="false">IF(B38=0,0,(B38*C38)^$B$9)</f>
        <v>0.0148906797513323</v>
      </c>
      <c r="E38" s="39" t="n">
        <f aca="false">D38*$B$6*3600</f>
        <v>5360.64471047963</v>
      </c>
      <c r="F38" s="39" t="n">
        <f aca="false">0.5*(E38+E37)*($B$7/60)</f>
        <v>320.539005709867</v>
      </c>
      <c r="G38" s="39" t="n">
        <f aca="false">E38/3600</f>
        <v>1.48906797513323</v>
      </c>
    </row>
    <row r="39" customFormat="false" ht="15" hidden="false" customHeight="false" outlineLevel="0" collapsed="false">
      <c r="A39" s="39" t="n">
        <f aca="false">A38+$B$7/60</f>
        <v>1.3</v>
      </c>
      <c r="B39" s="39" t="n">
        <f aca="false">A39/$D$7</f>
        <v>3.71428571428572</v>
      </c>
      <c r="C39" s="39" t="n">
        <f aca="false">EXP(1-B39)</f>
        <v>0.0662522591522616</v>
      </c>
      <c r="D39" s="39" t="n">
        <f aca="false">IF(B39=0,0,(B39*C39)^$B$9)</f>
        <v>0.0106435435081221</v>
      </c>
      <c r="E39" s="39" t="n">
        <f aca="false">D39*$B$6*3600</f>
        <v>3831.67566292397</v>
      </c>
      <c r="F39" s="39" t="n">
        <f aca="false">0.5*(E39+E38)*($B$7/60)</f>
        <v>229.80800933509</v>
      </c>
      <c r="G39" s="39" t="n">
        <f aca="false">E39/3600</f>
        <v>1.06435435081221</v>
      </c>
    </row>
    <row r="40" customFormat="false" ht="15" hidden="false" customHeight="false" outlineLevel="0" collapsed="false">
      <c r="A40" s="39" t="n">
        <f aca="false">A39+$B$7/60</f>
        <v>1.35</v>
      </c>
      <c r="B40" s="39" t="n">
        <f aca="false">A40/$D$7</f>
        <v>3.85714285714286</v>
      </c>
      <c r="C40" s="39" t="n">
        <f aca="false">EXP(1-B40)</f>
        <v>0.0574326192676172</v>
      </c>
      <c r="D40" s="39" t="n">
        <f aca="false">IF(B40=0,0,(B40*C40)^$B$9)</f>
        <v>0.00757137723926483</v>
      </c>
      <c r="E40" s="39" t="n">
        <f aca="false">D40*$B$6*3600</f>
        <v>2725.69580613534</v>
      </c>
      <c r="F40" s="39" t="n">
        <f aca="false">0.5*(E40+E39)*($B$7/60)</f>
        <v>163.934286726483</v>
      </c>
      <c r="G40" s="39" t="n">
        <f aca="false">E40/3600</f>
        <v>0.757137723926483</v>
      </c>
    </row>
    <row r="41" customFormat="false" ht="15" hidden="false" customHeight="false" outlineLevel="0" collapsed="false">
      <c r="A41" s="39" t="n">
        <f aca="false">A40+$B$7/60</f>
        <v>1.4</v>
      </c>
      <c r="B41" s="39" t="n">
        <f aca="false">A41/$D$7</f>
        <v>4</v>
      </c>
      <c r="C41" s="39" t="n">
        <f aca="false">EXP(1-B41)</f>
        <v>0.0497870683678639</v>
      </c>
      <c r="D41" s="39" t="n">
        <f aca="false">IF(B41=0,0,(B41*C41)^$B$9)</f>
        <v>0.00536206417921738</v>
      </c>
      <c r="E41" s="39" t="n">
        <f aca="false">D41*$B$6*3600</f>
        <v>1930.34310451826</v>
      </c>
      <c r="F41" s="39" t="n">
        <f aca="false">0.5*(E41+E40)*($B$7/60)</f>
        <v>116.40097276634</v>
      </c>
      <c r="G41" s="39" t="n">
        <f aca="false">E41/3600</f>
        <v>0.536206417921738</v>
      </c>
    </row>
    <row r="42" customFormat="false" ht="15" hidden="false" customHeight="false" outlineLevel="0" collapsed="false">
      <c r="A42" s="39" t="n">
        <f aca="false">A41+$B$7/60</f>
        <v>1.45</v>
      </c>
      <c r="B42" s="39" t="n">
        <f aca="false">A42/$D$7</f>
        <v>4.14285714285715</v>
      </c>
      <c r="C42" s="39" t="n">
        <f aca="false">EXP(1-B42)</f>
        <v>0.0431593092614525</v>
      </c>
      <c r="D42" s="39" t="n">
        <f aca="false">IF(B42=0,0,(B42*C42)^$B$9)</f>
        <v>0.00378175331614912</v>
      </c>
      <c r="E42" s="39" t="n">
        <f aca="false">D42*$B$6*3600</f>
        <v>1361.43119381368</v>
      </c>
      <c r="F42" s="39" t="n">
        <f aca="false">0.5*(E42+E41)*($B$7/60)</f>
        <v>82.2943574582985</v>
      </c>
      <c r="G42" s="39" t="n">
        <f aca="false">E42/3600</f>
        <v>0.378175331614912</v>
      </c>
    </row>
    <row r="43" customFormat="false" ht="15" hidden="false" customHeight="false" outlineLevel="0" collapsed="false">
      <c r="A43" s="39" t="n">
        <f aca="false">A42+$B$7/60</f>
        <v>1.5</v>
      </c>
      <c r="B43" s="39" t="n">
        <f aca="false">A43/$D$7</f>
        <v>4.28571428571429</v>
      </c>
      <c r="C43" s="39" t="n">
        <f aca="false">EXP(1-B43)</f>
        <v>0.0374138513672365</v>
      </c>
      <c r="D43" s="39" t="n">
        <f aca="false">IF(B43=0,0,(B43*C43)^$B$9)</f>
        <v>0.00265693081298306</v>
      </c>
      <c r="E43" s="39" t="n">
        <f aca="false">D43*$B$6*3600</f>
        <v>956.495092673902</v>
      </c>
      <c r="F43" s="39" t="n">
        <f aca="false">0.5*(E43+E42)*($B$7/60)</f>
        <v>57.9481571621896</v>
      </c>
      <c r="G43" s="39" t="n">
        <f aca="false">E43/3600</f>
        <v>0.265693081298306</v>
      </c>
    </row>
    <row r="44" customFormat="false" ht="15" hidden="false" customHeight="false" outlineLevel="0" collapsed="false">
      <c r="A44" s="39" t="n">
        <f aca="false">A43+$B$7/60</f>
        <v>1.55</v>
      </c>
      <c r="B44" s="39" t="n">
        <f aca="false">A44/$D$7</f>
        <v>4.42857142857143</v>
      </c>
      <c r="C44" s="39" t="n">
        <f aca="false">EXP(1-B44)</f>
        <v>0.0324332408947955</v>
      </c>
      <c r="D44" s="39" t="n">
        <f aca="false">IF(B44=0,0,(B44*C44)^$B$9)</f>
        <v>0.00185995726192856</v>
      </c>
      <c r="E44" s="39" t="n">
        <f aca="false">D44*$B$6*3600</f>
        <v>669.584614294282</v>
      </c>
      <c r="F44" s="39" t="n">
        <f aca="false">0.5*(E44+E43)*($B$7/60)</f>
        <v>40.6519926742046</v>
      </c>
      <c r="G44" s="39" t="n">
        <f aca="false">E44/3600</f>
        <v>0.185995726192856</v>
      </c>
    </row>
    <row r="45" customFormat="false" ht="15" hidden="false" customHeight="false" outlineLevel="0" collapsed="false">
      <c r="A45" s="39" t="n">
        <f aca="false">A44+$B$7/60</f>
        <v>1.6</v>
      </c>
      <c r="B45" s="39" t="n">
        <f aca="false">A45/$D$7</f>
        <v>4.57142857142857</v>
      </c>
      <c r="C45" s="39" t="n">
        <f aca="false">EXP(1-B45)</f>
        <v>0.028115659748972</v>
      </c>
      <c r="D45" s="39" t="n">
        <f aca="false">IF(B45=0,0,(B45*C45)^$B$9)</f>
        <v>0.00129765936046737</v>
      </c>
      <c r="E45" s="39" t="n">
        <f aca="false">D45*$B$6*3600</f>
        <v>467.157369768252</v>
      </c>
      <c r="F45" s="39" t="n">
        <f aca="false">0.5*(E45+E44)*($B$7/60)</f>
        <v>28.4185496015634</v>
      </c>
      <c r="G45" s="39" t="n">
        <f aca="false">E45/3600</f>
        <v>0.129765936046737</v>
      </c>
    </row>
    <row r="46" customFormat="false" ht="15" hidden="false" customHeight="false" outlineLevel="0" collapsed="false">
      <c r="A46" s="39" t="n">
        <f aca="false">A45+$B$7/60</f>
        <v>1.65</v>
      </c>
      <c r="B46" s="39" t="n">
        <f aca="false">A46/$D$7</f>
        <v>4.71428571428572</v>
      </c>
      <c r="C46" s="39" t="n">
        <f aca="false">EXP(1-B46)</f>
        <v>0.0243728440732795</v>
      </c>
      <c r="D46" s="39" t="n">
        <f aca="false">IF(B46=0,0,(B46*C46)^$B$9)</f>
        <v>0.000902492572170103</v>
      </c>
      <c r="E46" s="39" t="n">
        <f aca="false">D46*$B$6*3600</f>
        <v>324.897325981237</v>
      </c>
      <c r="F46" s="39" t="n">
        <f aca="false">0.5*(E46+E45)*($B$7/60)</f>
        <v>19.8013673937372</v>
      </c>
      <c r="G46" s="39" t="n">
        <f aca="false">E46/3600</f>
        <v>0.0902492572170103</v>
      </c>
    </row>
    <row r="47" customFormat="false" ht="15" hidden="false" customHeight="false" outlineLevel="0" collapsed="false">
      <c r="A47" s="39" t="n">
        <f aca="false">A46+$B$7/60</f>
        <v>1.7</v>
      </c>
      <c r="B47" s="39" t="n">
        <f aca="false">A47/$D$7</f>
        <v>4.85714285714286</v>
      </c>
      <c r="C47" s="39" t="n">
        <f aca="false">EXP(1-B47)</f>
        <v>0.0211282798811832</v>
      </c>
      <c r="D47" s="39" t="n">
        <f aca="false">IF(B47=0,0,(B47*C47)^$B$9)</f>
        <v>0.000625797550876276</v>
      </c>
      <c r="E47" s="39" t="n">
        <f aca="false">D47*$B$6*3600</f>
        <v>225.287118315459</v>
      </c>
      <c r="F47" s="39" t="n">
        <f aca="false">0.5*(E47+E46)*($B$7/60)</f>
        <v>13.7546111074174</v>
      </c>
      <c r="G47" s="39" t="n">
        <f aca="false">E47/3600</f>
        <v>0.0625797550876276</v>
      </c>
    </row>
    <row r="48" customFormat="false" ht="15" hidden="false" customHeight="false" outlineLevel="0" collapsed="false">
      <c r="A48" s="39" t="n">
        <f aca="false">A47+$B$7/60</f>
        <v>1.75</v>
      </c>
      <c r="B48" s="39" t="n">
        <f aca="false">A48/$D$7</f>
        <v>5</v>
      </c>
      <c r="C48" s="39" t="n">
        <f aca="false">EXP(1-B48)</f>
        <v>0.0183156388887341</v>
      </c>
      <c r="D48" s="39" t="n">
        <f aca="false">IF(B48=0,0,(B48*C48)^$B$9)</f>
        <v>0.000432719362468719</v>
      </c>
      <c r="E48" s="39" t="n">
        <f aca="false">D48*$B$6*3600</f>
        <v>155.778970488739</v>
      </c>
      <c r="F48" s="39" t="n">
        <f aca="false">0.5*(E48+E47)*($B$7/60)</f>
        <v>9.52665222010496</v>
      </c>
      <c r="G48" s="39" t="n">
        <f aca="false">E48/3600</f>
        <v>0.0432719362468719</v>
      </c>
    </row>
    <row r="49" customFormat="false" ht="15" hidden="false" customHeight="false" outlineLevel="0" collapsed="false">
      <c r="A49" s="39" t="n">
        <f aca="false">A48+$B$7/60</f>
        <v>1.8</v>
      </c>
      <c r="B49" s="39" t="n">
        <f aca="false">A49/$D$7</f>
        <v>5.14285714285715</v>
      </c>
      <c r="C49" s="39" t="n">
        <f aca="false">EXP(1-B49)</f>
        <v>0.0158774225724486</v>
      </c>
      <c r="D49" s="39" t="n">
        <f aca="false">IF(B49=0,0,(B49*C49)^$B$9)</f>
        <v>0.000298421194444384</v>
      </c>
      <c r="E49" s="39" t="n">
        <f aca="false">D49*$B$6*3600</f>
        <v>107.431629999978</v>
      </c>
      <c r="F49" s="39" t="n">
        <f aca="false">0.5*(E49+E48)*($B$7/60)</f>
        <v>6.58026501221793</v>
      </c>
      <c r="G49" s="39" t="n">
        <f aca="false">E49/3600</f>
        <v>0.0298421194444384</v>
      </c>
    </row>
    <row r="50" customFormat="false" ht="15" hidden="false" customHeight="false" outlineLevel="0" collapsed="false">
      <c r="A50" s="39" t="n">
        <f aca="false">A49+$B$7/60</f>
        <v>1.85</v>
      </c>
      <c r="B50" s="39" t="n">
        <f aca="false">A50/$D$7</f>
        <v>5.28571428571429</v>
      </c>
      <c r="C50" s="39" t="n">
        <f aca="false">EXP(1-B50)</f>
        <v>0.0137637867330504</v>
      </c>
      <c r="D50" s="39" t="n">
        <f aca="false">IF(B50=0,0,(B50*C50)^$B$9)</f>
        <v>0.000205289550958493</v>
      </c>
      <c r="E50" s="39" t="n">
        <f aca="false">D50*$B$6*3600</f>
        <v>73.9042383450575</v>
      </c>
      <c r="F50" s="39" t="n">
        <f aca="false">0.5*(E50+E49)*($B$7/60)</f>
        <v>4.5333967086259</v>
      </c>
      <c r="G50" s="39" t="n">
        <f aca="false">E50/3600</f>
        <v>0.0205289550958493</v>
      </c>
    </row>
    <row r="51" customFormat="false" ht="15" hidden="false" customHeight="false" outlineLevel="0" collapsed="false">
      <c r="A51" s="39" t="n">
        <f aca="false">A50+$B$7/60</f>
        <v>1.9</v>
      </c>
      <c r="B51" s="39" t="n">
        <f aca="false">A51/$D$7</f>
        <v>5.42857142857143</v>
      </c>
      <c r="C51" s="39" t="n">
        <f aca="false">EXP(1-B51)</f>
        <v>0.0119315225357561</v>
      </c>
      <c r="D51" s="39" t="n">
        <f aca="false">IF(B51=0,0,(B51*C51)^$B$9)</f>
        <v>0.000140888585457684</v>
      </c>
      <c r="E51" s="39" t="n">
        <f aca="false">D51*$B$6*3600</f>
        <v>50.7198907647661</v>
      </c>
      <c r="F51" s="39" t="n">
        <f aca="false">0.5*(E51+E50)*($B$7/60)</f>
        <v>3.11560322774559</v>
      </c>
      <c r="G51" s="39" t="n">
        <f aca="false">E51/3600</f>
        <v>0.0140888585457684</v>
      </c>
    </row>
    <row r="52" customFormat="false" ht="15" hidden="false" customHeight="false" outlineLevel="0" collapsed="false">
      <c r="A52" s="39" t="n">
        <f aca="false">A51+$B$7/60</f>
        <v>1.95</v>
      </c>
      <c r="B52" s="39" t="n">
        <f aca="false">A52/$D$7</f>
        <v>5.57142857142858</v>
      </c>
      <c r="C52" s="39" t="n">
        <f aca="false">EXP(1-B52)</f>
        <v>0.0103431731966182</v>
      </c>
      <c r="D52" s="39" t="n">
        <f aca="false">IF(B52=0,0,(B52*C52)^$B$9)</f>
        <v>9.64739319922408E-005</v>
      </c>
      <c r="E52" s="39" t="n">
        <f aca="false">D52*$B$6*3600</f>
        <v>34.7306155172067</v>
      </c>
      <c r="F52" s="39" t="n">
        <f aca="false">0.5*(E52+E51)*($B$7/60)</f>
        <v>2.13626265704932</v>
      </c>
      <c r="G52" s="39" t="n">
        <f aca="false">E52/3600</f>
        <v>0.00964739319922408</v>
      </c>
    </row>
    <row r="54" customFormat="false" ht="15" hidden="false" customHeight="false" outlineLevel="0" collapsed="false">
      <c r="A54" s="0" t="s">
        <v>461</v>
      </c>
      <c r="B54" s="39" t="n">
        <f aca="false">SUM(F13:F52)</f>
        <v>180022.546348833</v>
      </c>
      <c r="C54" s="6" t="s">
        <v>462</v>
      </c>
      <c r="D54" s="39" t="n">
        <f aca="false">B8</f>
        <v>180000</v>
      </c>
      <c r="E54" s="6" t="s">
        <v>463</v>
      </c>
      <c r="F54" s="51" t="n">
        <f aca="false">(B54-D54)/D54</f>
        <v>0.000125257493518034</v>
      </c>
    </row>
  </sheetData>
  <mergeCells count="4">
    <mergeCell ref="A1:H1"/>
    <mergeCell ref="A2:H2"/>
    <mergeCell ref="A4:D4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9" min="3" style="0" width="12"/>
    <col collapsed="false" customWidth="true" hidden="false" outlineLevel="0" max="11" min="10" style="0" width="14"/>
  </cols>
  <sheetData>
    <row r="1" customFormat="false" ht="16.15" hidden="false" customHeight="true" outlineLevel="0" collapsed="false">
      <c r="A1" s="43" t="s">
        <v>464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customFormat="false" ht="15" hidden="false" customHeight="false" outlineLevel="0" collapsed="false">
      <c r="A2" s="33" t="s">
        <v>465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4" customFormat="false" ht="15" hidden="false" customHeight="false" outlineLevel="0" collapsed="false">
      <c r="A4" s="41" t="s">
        <v>466</v>
      </c>
      <c r="B4" s="41"/>
      <c r="C4" s="41"/>
      <c r="D4" s="41"/>
    </row>
    <row r="5" customFormat="false" ht="23.85" hidden="false" customHeight="false" outlineLevel="0" collapsed="false">
      <c r="A5" s="0" t="s">
        <v>467</v>
      </c>
      <c r="B5" s="42" t="n">
        <f aca="false">03_Breach_Characteristics!F69</f>
        <v>28.6662998354164</v>
      </c>
      <c r="C5" s="6" t="s">
        <v>468</v>
      </c>
      <c r="D5" s="5" t="s">
        <v>469</v>
      </c>
    </row>
    <row r="6" customFormat="false" ht="15" hidden="false" customHeight="false" outlineLevel="0" collapsed="false">
      <c r="A6" s="0" t="s">
        <v>470</v>
      </c>
      <c r="B6" s="42" t="n">
        <f aca="false">03_Breach_Characteristics!D49</f>
        <v>13000</v>
      </c>
    </row>
    <row r="8" customFormat="false" ht="15" hidden="false" customHeight="true" outlineLevel="0" collapsed="false">
      <c r="A8" s="4" t="s">
        <v>471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customFormat="false" ht="26.85" hidden="false" customHeight="false" outlineLevel="0" collapsed="false">
      <c r="A9" s="7" t="s">
        <v>472</v>
      </c>
      <c r="B9" s="7" t="s">
        <v>473</v>
      </c>
      <c r="C9" s="7" t="s">
        <v>276</v>
      </c>
      <c r="D9" s="7" t="s">
        <v>474</v>
      </c>
      <c r="E9" s="7" t="s">
        <v>475</v>
      </c>
      <c r="F9" s="7" t="s">
        <v>476</v>
      </c>
      <c r="G9" s="7" t="s">
        <v>477</v>
      </c>
      <c r="H9" s="7" t="s">
        <v>478</v>
      </c>
      <c r="I9" s="7" t="s">
        <v>479</v>
      </c>
      <c r="J9" s="7" t="s">
        <v>480</v>
      </c>
      <c r="K9" s="7" t="s">
        <v>481</v>
      </c>
    </row>
    <row r="10" customFormat="false" ht="15" hidden="false" customHeight="false" outlineLevel="0" collapsed="false">
      <c r="A10" s="5" t="n">
        <v>1.5</v>
      </c>
      <c r="B10" s="5" t="n">
        <v>0</v>
      </c>
      <c r="C10" s="5" t="n">
        <v>20</v>
      </c>
      <c r="D10" s="39" t="n">
        <v>0</v>
      </c>
      <c r="E10" s="39" t="n">
        <v>0</v>
      </c>
      <c r="F10" s="39" t="n">
        <v>0</v>
      </c>
      <c r="G10" s="39" t="n">
        <v>0</v>
      </c>
      <c r="H10" s="38" t="n">
        <v>1</v>
      </c>
      <c r="I10" s="39" t="n">
        <f aca="false">$B$5</f>
        <v>28.6662998354164</v>
      </c>
      <c r="J10" s="39" t="n">
        <v>0</v>
      </c>
      <c r="K10" s="39" t="n">
        <v>0</v>
      </c>
    </row>
    <row r="11" customFormat="false" ht="15" hidden="false" customHeight="false" outlineLevel="0" collapsed="false">
      <c r="A11" s="5" t="n">
        <v>1.4</v>
      </c>
      <c r="B11" s="5" t="n">
        <v>100</v>
      </c>
      <c r="C11" s="5" t="n">
        <v>18</v>
      </c>
      <c r="D11" s="39" t="n">
        <f aca="false">B11-B10</f>
        <v>100</v>
      </c>
      <c r="E11" s="39" t="n">
        <f aca="false">IF(D11=0,0,(C10-C11)/D11)</f>
        <v>0.02</v>
      </c>
      <c r="F11" s="39" t="n">
        <f aca="false">E11*1000</f>
        <v>20</v>
      </c>
      <c r="G11" s="39" t="n">
        <f aca="false">IF(E11&gt;=0.02,3.05,IF(E11&gt;=0.01,1.52,0.91))</f>
        <v>3.05</v>
      </c>
      <c r="H11" s="5" t="n">
        <v>1</v>
      </c>
      <c r="I11" s="39" t="n">
        <f aca="false">H11*$B$5</f>
        <v>28.6662998354164</v>
      </c>
      <c r="J11" s="39" t="n">
        <f aca="false">IF(G11=0,0,D11/(1.5*G11)/60)</f>
        <v>0.364298724954463</v>
      </c>
      <c r="K11" s="39" t="n">
        <f aca="false">IF(G11=0,0,D11/G11/60)</f>
        <v>0.546448087431694</v>
      </c>
    </row>
    <row r="12" customFormat="false" ht="15" hidden="false" customHeight="false" outlineLevel="0" collapsed="false">
      <c r="A12" s="5" t="n">
        <v>1.3</v>
      </c>
      <c r="B12" s="5" t="n">
        <v>200</v>
      </c>
      <c r="C12" s="5" t="n">
        <v>16</v>
      </c>
      <c r="D12" s="39" t="n">
        <f aca="false">B12-B11</f>
        <v>100</v>
      </c>
      <c r="E12" s="39" t="n">
        <f aca="false">IF(D12=0,0,(C11-C12)/D12)</f>
        <v>0.02</v>
      </c>
      <c r="F12" s="39" t="n">
        <f aca="false">E12*1000</f>
        <v>20</v>
      </c>
      <c r="G12" s="39" t="n">
        <f aca="false">IF(E12&gt;=0.02,3.05,IF(E12&gt;=0.01,1.52,0.91))</f>
        <v>3.05</v>
      </c>
      <c r="H12" s="5" t="n">
        <v>1</v>
      </c>
      <c r="I12" s="39" t="n">
        <f aca="false">H12*$B$5</f>
        <v>28.6662998354164</v>
      </c>
      <c r="J12" s="39" t="n">
        <f aca="false">IF(G12=0,0,D12/(1.5*G12)/60)</f>
        <v>0.364298724954463</v>
      </c>
      <c r="K12" s="39" t="n">
        <f aca="false">IF(G12=0,0,D12/G12/60)</f>
        <v>0.546448087431694</v>
      </c>
    </row>
    <row r="13" customFormat="false" ht="15" hidden="false" customHeight="false" outlineLevel="0" collapsed="false">
      <c r="A13" s="5" t="n">
        <v>1.1</v>
      </c>
      <c r="B13" s="5" t="n">
        <v>400</v>
      </c>
      <c r="C13" s="5" t="n">
        <v>14</v>
      </c>
      <c r="D13" s="39" t="n">
        <f aca="false">B13-B12</f>
        <v>200</v>
      </c>
      <c r="E13" s="39" t="n">
        <f aca="false">IF(D13=0,0,(C12-C13)/D13)</f>
        <v>0.01</v>
      </c>
      <c r="F13" s="39" t="n">
        <f aca="false">E13*1000</f>
        <v>10</v>
      </c>
      <c r="G13" s="39" t="n">
        <f aca="false">IF(E13&gt;=0.02,3.05,IF(E13&gt;=0.01,1.52,0.91))</f>
        <v>1.52</v>
      </c>
      <c r="H13" s="5" t="n">
        <v>1</v>
      </c>
      <c r="I13" s="39" t="n">
        <f aca="false">H13*$B$5</f>
        <v>28.6662998354164</v>
      </c>
      <c r="J13" s="39" t="n">
        <f aca="false">IF(G13=0,0,D13/(1.5*G13)/60)</f>
        <v>1.46198830409357</v>
      </c>
      <c r="K13" s="39" t="n">
        <f aca="false">IF(G13=0,0,D13/G13/60)</f>
        <v>2.19298245614035</v>
      </c>
    </row>
    <row r="14" customFormat="false" ht="15" hidden="false" customHeight="false" outlineLevel="0" collapsed="false">
      <c r="A14" s="5" t="n">
        <v>1</v>
      </c>
      <c r="B14" s="5" t="n">
        <v>500</v>
      </c>
      <c r="C14" s="5" t="n">
        <v>12</v>
      </c>
      <c r="D14" s="39" t="n">
        <f aca="false">B14-B13</f>
        <v>100</v>
      </c>
      <c r="E14" s="39" t="n">
        <f aca="false">IF(D14=0,0,(C13-C14)/D14)</f>
        <v>0.02</v>
      </c>
      <c r="F14" s="39" t="n">
        <f aca="false">E14*1000</f>
        <v>20</v>
      </c>
      <c r="G14" s="39" t="n">
        <f aca="false">IF(E14&gt;=0.02,3.05,IF(E14&gt;=0.01,1.52,0.91))</f>
        <v>3.05</v>
      </c>
      <c r="H14" s="5" t="n">
        <v>1</v>
      </c>
      <c r="I14" s="39" t="n">
        <f aca="false">H14*$B$5</f>
        <v>28.6662998354164</v>
      </c>
      <c r="J14" s="39" t="n">
        <f aca="false">IF(G14=0,0,D14/(1.5*G14)/60)</f>
        <v>0.364298724954463</v>
      </c>
      <c r="K14" s="39" t="n">
        <f aca="false">IF(G14=0,0,D14/G14/60)</f>
        <v>0.546448087431694</v>
      </c>
    </row>
    <row r="15" customFormat="false" ht="15" hidden="false" customHeight="false" outlineLevel="0" collapsed="false">
      <c r="A15" s="5" t="n">
        <v>0.9</v>
      </c>
      <c r="B15" s="5" t="n">
        <v>600</v>
      </c>
      <c r="C15" s="5" t="n">
        <v>10</v>
      </c>
      <c r="D15" s="39" t="n">
        <f aca="false">B15-B14</f>
        <v>100</v>
      </c>
      <c r="E15" s="39" t="n">
        <f aca="false">IF(D15=0,0,(C14-C15)/D15)</f>
        <v>0.02</v>
      </c>
      <c r="F15" s="39" t="n">
        <f aca="false">E15*1000</f>
        <v>20</v>
      </c>
      <c r="G15" s="39" t="n">
        <f aca="false">IF(E15&gt;=0.02,3.05,IF(E15&gt;=0.01,1.52,0.91))</f>
        <v>3.05</v>
      </c>
      <c r="H15" s="5" t="n">
        <v>1</v>
      </c>
      <c r="I15" s="39" t="n">
        <f aca="false">H15*$B$5</f>
        <v>28.6662998354164</v>
      </c>
      <c r="J15" s="39" t="n">
        <f aca="false">IF(G15=0,0,D15/(1.5*G15)/60)</f>
        <v>0.364298724954463</v>
      </c>
      <c r="K15" s="39" t="n">
        <f aca="false">IF(G15=0,0,D15/G15/60)</f>
        <v>0.546448087431694</v>
      </c>
    </row>
    <row r="16" customFormat="false" ht="15" hidden="false" customHeight="false" outlineLevel="0" collapsed="false">
      <c r="A16" s="5" t="n">
        <v>0.7</v>
      </c>
      <c r="B16" s="5" t="n">
        <v>800</v>
      </c>
      <c r="C16" s="5" t="n">
        <v>8</v>
      </c>
      <c r="D16" s="39" t="n">
        <f aca="false">B16-B15</f>
        <v>200</v>
      </c>
      <c r="E16" s="39" t="n">
        <f aca="false">IF(D16=0,0,(C15-C16)/D16)</f>
        <v>0.01</v>
      </c>
      <c r="F16" s="39" t="n">
        <f aca="false">E16*1000</f>
        <v>10</v>
      </c>
      <c r="G16" s="39" t="n">
        <f aca="false">IF(E16&gt;=0.02,3.05,IF(E16&gt;=0.01,1.52,0.91))</f>
        <v>1.52</v>
      </c>
      <c r="H16" s="5" t="n">
        <v>1</v>
      </c>
      <c r="I16" s="39" t="n">
        <f aca="false">H16*$B$5</f>
        <v>28.6662998354164</v>
      </c>
      <c r="J16" s="39" t="n">
        <f aca="false">IF(G16=0,0,D16/(1.5*G16)/60)</f>
        <v>1.46198830409357</v>
      </c>
      <c r="K16" s="39" t="n">
        <f aca="false">IF(G16=0,0,D16/G16/60)</f>
        <v>2.19298245614035</v>
      </c>
    </row>
    <row r="17" customFormat="false" ht="15" hidden="false" customHeight="false" outlineLevel="0" collapsed="false">
      <c r="A17" s="5" t="n">
        <v>0.6</v>
      </c>
      <c r="B17" s="5" t="n">
        <v>900</v>
      </c>
      <c r="C17" s="5" t="n">
        <v>6</v>
      </c>
      <c r="D17" s="39" t="n">
        <f aca="false">B17-B16</f>
        <v>100</v>
      </c>
      <c r="E17" s="39" t="n">
        <f aca="false">IF(D17=0,0,(C16-C17)/D17)</f>
        <v>0.02</v>
      </c>
      <c r="F17" s="39" t="n">
        <f aca="false">E17*1000</f>
        <v>20</v>
      </c>
      <c r="G17" s="39" t="n">
        <f aca="false">IF(E17&gt;=0.02,3.05,IF(E17&gt;=0.01,1.52,0.91))</f>
        <v>3.05</v>
      </c>
      <c r="H17" s="5" t="n">
        <v>1</v>
      </c>
      <c r="I17" s="39" t="n">
        <f aca="false">H17*$B$5</f>
        <v>28.6662998354164</v>
      </c>
      <c r="J17" s="39" t="n">
        <f aca="false">IF(G17=0,0,D17/(1.5*G17)/60)</f>
        <v>0.364298724954463</v>
      </c>
      <c r="K17" s="39" t="n">
        <f aca="false">IF(G17=0,0,D17/G17/60)</f>
        <v>0.546448087431694</v>
      </c>
    </row>
    <row r="18" customFormat="false" ht="15" hidden="false" customHeight="false" outlineLevel="0" collapsed="false">
      <c r="A18" s="5" t="n">
        <v>0.5</v>
      </c>
      <c r="B18" s="5" t="n">
        <v>1000</v>
      </c>
      <c r="C18" s="5" t="n">
        <v>4</v>
      </c>
      <c r="D18" s="39" t="n">
        <f aca="false">B18-B17</f>
        <v>100</v>
      </c>
      <c r="E18" s="39" t="n">
        <f aca="false">IF(D18=0,0,(C17-C18)/D18)</f>
        <v>0.02</v>
      </c>
      <c r="F18" s="39" t="n">
        <f aca="false">E18*1000</f>
        <v>20</v>
      </c>
      <c r="G18" s="39" t="n">
        <f aca="false">IF(E18&gt;=0.02,3.05,IF(E18&gt;=0.01,1.52,0.91))</f>
        <v>3.05</v>
      </c>
      <c r="H18" s="5" t="n">
        <v>1</v>
      </c>
      <c r="I18" s="39" t="n">
        <f aca="false">H18*$B$5</f>
        <v>28.6662998354164</v>
      </c>
      <c r="J18" s="39" t="n">
        <f aca="false">IF(G18=0,0,D18/(1.5*G18)/60)</f>
        <v>0.364298724954463</v>
      </c>
      <c r="K18" s="39" t="n">
        <f aca="false">IF(G18=0,0,D18/G18/60)</f>
        <v>0.546448087431694</v>
      </c>
    </row>
    <row r="19" customFormat="false" ht="15" hidden="false" customHeight="false" outlineLevel="0" collapsed="false">
      <c r="A19" s="5" t="n">
        <v>0.3</v>
      </c>
      <c r="B19" s="5" t="n">
        <v>1200</v>
      </c>
      <c r="C19" s="5" t="n">
        <v>2</v>
      </c>
      <c r="D19" s="39" t="n">
        <f aca="false">B19-B18</f>
        <v>200</v>
      </c>
      <c r="E19" s="39" t="n">
        <f aca="false">IF(D19=0,0,(C18-C19)/D19)</f>
        <v>0.01</v>
      </c>
      <c r="F19" s="39" t="n">
        <f aca="false">E19*1000</f>
        <v>10</v>
      </c>
      <c r="G19" s="39" t="n">
        <f aca="false">IF(E19&gt;=0.02,3.05,IF(E19&gt;=0.01,1.52,0.91))</f>
        <v>1.52</v>
      </c>
      <c r="H19" s="5" t="n">
        <v>1</v>
      </c>
      <c r="I19" s="39" t="n">
        <f aca="false">H19*$B$5</f>
        <v>28.6662998354164</v>
      </c>
      <c r="J19" s="39" t="n">
        <f aca="false">IF(G19=0,0,D19/(1.5*G19)/60)</f>
        <v>1.46198830409357</v>
      </c>
      <c r="K19" s="39" t="n">
        <f aca="false">IF(G19=0,0,D19/G19/60)</f>
        <v>2.19298245614035</v>
      </c>
    </row>
    <row r="20" customFormat="false" ht="15" hidden="false" customHeight="false" outlineLevel="0" collapsed="false">
      <c r="A20" s="5" t="n">
        <v>0</v>
      </c>
      <c r="B20" s="5" t="n">
        <v>1500</v>
      </c>
      <c r="C20" s="5" t="n">
        <v>1</v>
      </c>
      <c r="D20" s="39" t="n">
        <f aca="false">B20-B19</f>
        <v>300</v>
      </c>
      <c r="E20" s="39" t="n">
        <f aca="false">IF(D20=0,0,(C19-C20)/D20)</f>
        <v>0.00333333333333333</v>
      </c>
      <c r="F20" s="39" t="n">
        <f aca="false">E20*1000</f>
        <v>3.33333333333333</v>
      </c>
      <c r="G20" s="39" t="n">
        <f aca="false">IF(E20&gt;=0.02,3.05,IF(E20&gt;=0.01,1.52,0.91))</f>
        <v>0.91</v>
      </c>
      <c r="H20" s="5" t="n">
        <v>1</v>
      </c>
      <c r="I20" s="39" t="n">
        <f aca="false">H20*$B$5</f>
        <v>28.6662998354164</v>
      </c>
      <c r="J20" s="39" t="n">
        <f aca="false">IF(G20=0,0,D20/(1.5*G20)/60)</f>
        <v>3.66300366300366</v>
      </c>
      <c r="K20" s="39" t="n">
        <f aca="false">IF(G20=0,0,D20/G20/60)</f>
        <v>5.49450549450549</v>
      </c>
    </row>
    <row r="22" customFormat="false" ht="15" hidden="false" customHeight="false" outlineLevel="0" collapsed="false">
      <c r="A22" s="41" t="s">
        <v>482</v>
      </c>
      <c r="B22" s="41"/>
      <c r="C22" s="41"/>
      <c r="D22" s="41"/>
    </row>
    <row r="23" customFormat="false" ht="15" hidden="false" customHeight="false" outlineLevel="0" collapsed="false">
      <c r="A23" s="0" t="s">
        <v>483</v>
      </c>
      <c r="B23" s="39" t="n">
        <f aca="false">SUM(J10:J20)</f>
        <v>10.2347609250111</v>
      </c>
      <c r="C23" s="6" t="s">
        <v>484</v>
      </c>
      <c r="D23" s="39" t="n">
        <f aca="false">SUM(K10:K20)</f>
        <v>15.3521413875167</v>
      </c>
    </row>
    <row r="24" customFormat="false" ht="15" hidden="false" customHeight="false" outlineLevel="0" collapsed="false">
      <c r="A24" s="0" t="s">
        <v>485</v>
      </c>
      <c r="B24" s="39" t="n">
        <f aca="false">B23/60</f>
        <v>0.170579348750186</v>
      </c>
      <c r="C24" s="6" t="s">
        <v>486</v>
      </c>
      <c r="D24" s="39" t="n">
        <f aca="false">D23/60</f>
        <v>0.255869023125279</v>
      </c>
    </row>
    <row r="26" customFormat="false" ht="39.75" hidden="false" customHeight="true" outlineLevel="0" collapsed="false">
      <c r="A26" s="49" t="s">
        <v>487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</row>
  </sheetData>
  <mergeCells count="6">
    <mergeCell ref="A1:K1"/>
    <mergeCell ref="A2:K2"/>
    <mergeCell ref="A4:D4"/>
    <mergeCell ref="A8:K8"/>
    <mergeCell ref="A22:D22"/>
    <mergeCell ref="A26:K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2026-08-26T05:22:31Z</dcterms:created>
  <dc:creator>openpyxl</dc:creator>
  <dc:description/>
  <dc:language>en-US</dc:language>
  <cp:lastModifiedBy/>
  <dcterms:modified xsi:type="dcterms:W3CDTF">2026-08-26T05:22:31Z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